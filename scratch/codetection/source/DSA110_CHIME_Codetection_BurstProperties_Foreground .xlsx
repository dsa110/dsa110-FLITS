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<sst xmlns="http://schemas.openxmlformats.org/spreadsheetml/2006/main" count="688" uniqueCount="159">
  <si>
    <t>name</t>
  </si>
  <si>
    <t>TNS</t>
  </si>
  <si>
    <t>MJD</t>
  </si>
  <si>
    <t>Localization</t>
  </si>
  <si>
    <t>z_spectroscopic</t>
  </si>
  <si>
    <t>RA_deg</t>
  </si>
  <si>
    <t>Dec_deg</t>
  </si>
  <si>
    <t>gamma_1.4GHz_MHz</t>
  </si>
  <si>
    <t>gamma_1.4GHz_err_MHz</t>
  </si>
  <si>
    <t>gamma_1.4GHz_NE2001_MHz</t>
  </si>
  <si>
    <t>tau_1GHz_ms</t>
  </si>
  <si>
    <t>tau_1GHz_std_ms</t>
  </si>
  <si>
    <t>zach</t>
  </si>
  <si>
    <t>FRB 20220207C</t>
  </si>
  <si>
    <t>20 40 47.886 +72 52 56.378</t>
  </si>
  <si>
    <t>20h40m47.886s +72d52m56.378s</t>
  </si>
  <si>
    <t>(+0.012, -0.002)</t>
  </si>
  <si>
    <t>whitney</t>
  </si>
  <si>
    <t>FRB 20220310F</t>
  </si>
  <si>
    <t>08 58 52.92 +73 29 27.0</t>
  </si>
  <si>
    <t>08h58m52.92s +73d29m27.0s</t>
  </si>
  <si>
    <t>-</t>
  </si>
  <si>
    <t>(+0.017, -0.010)</t>
  </si>
  <si>
    <t>oran</t>
  </si>
  <si>
    <t>FRB 20220506D</t>
  </si>
  <si>
    <t>21 12 10.760 +72 49 38.20</t>
  </si>
  <si>
    <t>21h12m10.760s +72d49m38.20s</t>
  </si>
  <si>
    <t>(+0.089, -0.077)</t>
  </si>
  <si>
    <t>isha</t>
  </si>
  <si>
    <t>FRB 20221113A</t>
  </si>
  <si>
    <t>04 45 38.64 +70 18 26.6</t>
  </si>
  <si>
    <t>04h45m38.64s +70d18m26.6s</t>
  </si>
  <si>
    <t>(+0.013, -0.013)</t>
  </si>
  <si>
    <t>wilhelm</t>
  </si>
  <si>
    <t>FRB 20221203A</t>
  </si>
  <si>
    <t>21 00 31.09 +72 02 15.22</t>
  </si>
  <si>
    <t>21h00m31.09s +72d02m15.22s</t>
  </si>
  <si>
    <t>(+0.049, -0.136)</t>
  </si>
  <si>
    <t>phineas</t>
  </si>
  <si>
    <t>FRB 20230307A</t>
  </si>
  <si>
    <t>11 51 07.52 +71 41 44.3</t>
  </si>
  <si>
    <t>11h51m07.52s +71d41m44.3s</t>
  </si>
  <si>
    <t>(+0.126, -0.228)</t>
  </si>
  <si>
    <t>freya</t>
  </si>
  <si>
    <t>FRB 20230325A</t>
  </si>
  <si>
    <t>05 52 45.12 +74 12 01.7</t>
  </si>
  <si>
    <t>05h52m45.12s +74d12m01.7s</t>
  </si>
  <si>
    <t>(+0.010, -0.007)</t>
  </si>
  <si>
    <t>johndoeII</t>
  </si>
  <si>
    <t>FRB 20230814B</t>
  </si>
  <si>
    <t>22 23 53.94 +73 01 33.26</t>
  </si>
  <si>
    <t>22h23m53.94s +73d01m33.26s</t>
  </si>
  <si>
    <t>(+0.076, -0.012)</t>
  </si>
  <si>
    <t>hamilton</t>
  </si>
  <si>
    <t xml:space="preserve">FRB 20230913A </t>
  </si>
  <si>
    <t>20 20 08.92 +70 47 33.96</t>
  </si>
  <si>
    <t>20h20m08.92s +70d47m33.96s</t>
  </si>
  <si>
    <t>(+0.135, -0.140)</t>
  </si>
  <si>
    <t>mahi</t>
  </si>
  <si>
    <t>FRB 20240119A</t>
  </si>
  <si>
    <t>02 39 03.96 +71 01 04.3</t>
  </si>
  <si>
    <t>02h39m03.96s +71d01m04.3s</t>
  </si>
  <si>
    <t>(+0.122, -0.030)</t>
  </si>
  <si>
    <t>chromatica</t>
  </si>
  <si>
    <t>FRB 20240203A</t>
  </si>
  <si>
    <t>20 50 28.59 +73 54 00.0</t>
  </si>
  <si>
    <t>20h50m28.59s +73d54m00.0s</t>
  </si>
  <si>
    <t>(+0.012, -0.004)</t>
  </si>
  <si>
    <t>casey</t>
  </si>
  <si>
    <t>FRB 20240229A</t>
  </si>
  <si>
    <t>11 19 56.05 +70 40 34.4</t>
  </si>
  <si>
    <t>11h19m56.05s +70d40m34.4s</t>
  </si>
  <si>
    <t>(+0.204, -0.004)</t>
  </si>
  <si>
    <t>The functional form for 2D exponentially-modified Gaussian (EMG) pulse model, $S_{\nu}(t)$, across all channels is defined as: 
\begin{equation}\label{eq:expgauss}
\begin{aligned}
&amp; S_{\nu}(t)=\frac{c_{\nu}}{\sqrt{2\pi}\,\sigma_{\nu,\mathrm{DM}}}\,
\exp\!\left[-\frac{\left(t-\Delta t_{\nu,\mathrm{DM}}\right)^2}{2\,\sigma_{\nu,\mathrm{DM}}^2}\right] \\
&amp;\,\,\,\,\, \ast\,\Theta(t-t_0)\,\exp\!\left[-\frac{(t-t_0)}{\tau_{1\mathrm{GHz}}\nu^{-\alpha}}\right]
\end{aligned} 
\end{equation}
\noindent
where at the central frequency of each channel $\nu$ and time bin $t$, $c_{\nu}$ represents the spectral amplitude which scales as $\propto c_0\nu^{-\gamma}$ with a spectral index $\gamma$, $\Delta t_{\nu,\,\mathrm{DM}}$ is the shift in time due to dispersive smearing after a start time $t_0$ referenced to $1.53\,\mathrm{GHz}$, where $\Delta t_{\nu,\,\mathrm{DM}}\!=\!t_0 + t_{\nu, \mathrm{DM}}\!=\!4.15 \mathrm{\,ms} \times \mathrm{\Delta DM}\left(\nu / \mathrm{GHz}\right)^{-2}$, $\sigma_{\nu,\mathrm{DM}}$ is the intrinsic burst width\footnote{Normally, $\sigma$ is frequency-independent, however since these data are not coherently dedispersed, we need to account for intra-channel dispersive smearing.} that goes as $\propto \mathrm{DM}\left(\nu / \mathrm{GHz}\right)^{-3}$, $\tau$ represents the pulse broadening (i.e., scattering) timescale at 1\,GHz, scaled to 1.4\,GHz according to a scattering index $\alpha$ as $\tau \propto \nu^{-\alpha}$, $\Theta(t)$ is the Heaviside unit step function, and $\ast$ symbolizes a convolution. We fixed the scattering index at $\alpha\!=\!4$, as implied by the functional form of Eq.~\ref{eq:expgauss}</t>
  </si>
  <si>
    <t>obj_ID</t>
  </si>
  <si>
    <t>Survey</t>
  </si>
  <si>
    <t>Impact_Parmeter_kpc</t>
  </si>
  <si>
    <t>z_photometric</t>
  </si>
  <si>
    <t>class</t>
  </si>
  <si>
    <t>prob_gal</t>
  </si>
  <si>
    <t>prob_star</t>
  </si>
  <si>
    <t>prob_qso</t>
  </si>
  <si>
    <t>IGH</t>
  </si>
  <si>
    <t>195373100910393540</t>
  </si>
  <si>
    <t>WISE, PS1, STRM</t>
  </si>
  <si>
    <t>GALAXY</t>
  </si>
  <si>
    <t>Object ID</t>
  </si>
  <si>
    <t>Legacy DR8 (Zhou et al. 2021)</t>
  </si>
  <si>
    <t>REX</t>
  </si>
  <si>
    <t>EXP</t>
  </si>
  <si>
    <t>196191347354360083</t>
  </si>
  <si>
    <t>obj_name, obj_ID</t>
  </si>
  <si>
    <t>r500_Mpc</t>
  </si>
  <si>
    <t>lam500_richness</t>
  </si>
  <si>
    <t>M500_1e14</t>
  </si>
  <si>
    <t>Ngal</t>
  </si>
  <si>
    <t>IGC</t>
  </si>
  <si>
    <t>J085546.0+732230, 1160094</t>
  </si>
  <si>
    <t>DESI, WISE (Wen et al. 2024)</t>
  </si>
  <si>
    <t>J085531.9+732432, 1159975</t>
  </si>
  <si>
    <t>J085808.2+731234, 1161367</t>
  </si>
  <si>
    <t>p_gal</t>
  </si>
  <si>
    <t>195393180643665627</t>
  </si>
  <si>
    <t>None</t>
  </si>
  <si>
    <t>194453151328186646</t>
  </si>
  <si>
    <r>
      <rPr>
        <rFont val="Arial"/>
        <b/>
        <i/>
        <color theme="1"/>
      </rPr>
      <t xml:space="preserve">Note: </t>
    </r>
    <r>
      <rPr>
        <rFont val="Arial"/>
        <b/>
        <i/>
        <color theme="1"/>
      </rPr>
      <t>this is the only source visible in SDSS DR13</t>
    </r>
  </si>
  <si>
    <t>DEV</t>
  </si>
  <si>
    <t>Also in SDSS</t>
  </si>
  <si>
    <t>might be closer? check Sloan Digital Sky Surveys (SDSS), Release 16 (DR16) (Ahumada+, 2020)</t>
  </si>
  <si>
    <t>194021777634832653</t>
  </si>
  <si>
    <t>194031778315722893</t>
  </si>
  <si>
    <t>194041777780157594</t>
  </si>
  <si>
    <t>194051777813062524</t>
  </si>
  <si>
    <t>M500_1e14Msun</t>
  </si>
  <si>
    <t>Number_of_Galaxies</t>
  </si>
  <si>
    <t>J115120.4+714435, 1254337</t>
  </si>
  <si>
    <t>J115128.2+713637, 1254415</t>
  </si>
  <si>
    <t>J114944.0+714348, 1253496</t>
  </si>
  <si>
    <t>J115140.5+712732, 1254506</t>
  </si>
  <si>
    <t>J115400.9+713320, 1255773</t>
  </si>
  <si>
    <t>J115031.4+715735, 1253898</t>
  </si>
  <si>
    <t>J115436.9+713930, 1256077</t>
  </si>
  <si>
    <t>J114928.5+712526, 1253366</t>
  </si>
  <si>
    <t>197030881733398302</t>
  </si>
  <si>
    <t>197040882212782495</t>
  </si>
  <si>
    <t>192943050854547067</t>
  </si>
  <si>
    <t>192963050359413614</t>
  </si>
  <si>
    <t>196673126794497004</t>
  </si>
  <si>
    <t>196723126173351736</t>
  </si>
  <si>
    <t>196733128040225775</t>
  </si>
  <si>
    <t>192821699728654764</t>
  </si>
  <si>
    <t>192821700026167542</t>
  </si>
  <si>
    <t>192831699797402822</t>
  </si>
  <si>
    <t>J111929.5+705441, 1237905</t>
  </si>
  <si>
    <t>J112235.5+705438, 1239515</t>
  </si>
  <si>
    <t>J112350.9+704142, 1240175</t>
  </si>
  <si>
    <t>J111930.9+702041, 1237924</t>
  </si>
  <si>
    <t>N/A</t>
  </si>
  <si>
    <t>Intervening_Halo</t>
  </si>
  <si>
    <t>Intervening_Cluster</t>
  </si>
  <si>
    <t>A</t>
  </si>
  <si>
    <t>I</t>
  </si>
  <si>
    <t>B</t>
  </si>
  <si>
    <t>II</t>
  </si>
  <si>
    <t>C</t>
  </si>
  <si>
    <t>III</t>
  </si>
  <si>
    <t>D</t>
  </si>
  <si>
    <t>E</t>
  </si>
  <si>
    <t xml:space="preserve">I </t>
  </si>
  <si>
    <t>IV</t>
  </si>
  <si>
    <t>V</t>
  </si>
  <si>
    <t>F</t>
  </si>
  <si>
    <t>VI</t>
  </si>
  <si>
    <t>G</t>
  </si>
  <si>
    <t>VII</t>
  </si>
  <si>
    <t>H</t>
  </si>
  <si>
    <t>VIII</t>
  </si>
  <si>
    <t>J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</si>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</sst>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b/>
      <color theme="1"/>
      <name val="Helvetica Neue"/>
    </font>
    <font>
      <color theme="1"/>
      <name val="Arial"/>
    </font>
    <font>
      <sz val="11.0"/>
      <color theme="1"/>
      <name val="Calibri"/>
    </font>
    <font>
      <color theme="1"/>
      <name val="Helvetica Neue"/>
    </font>
    <font>
      <b/>
      <i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 vertical="top"/>
    </xf>
    <xf borderId="0" fillId="2" fontId="2" numFmtId="0" xfId="0" applyAlignment="1" applyFont="1">
      <alignment horizontal="center" readingOrder="0" vertical="top"/>
    </xf>
    <xf borderId="0" fillId="3" fontId="4" numFmtId="0" xfId="0" applyAlignment="1" applyFill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3" fontId="5" numFmtId="0" xfId="0" applyAlignment="1" applyFont="1">
      <alignment horizontal="center" readingOrder="0" vertical="bottom"/>
    </xf>
    <xf borderId="0" fillId="0" fontId="5" numFmtId="164" xfId="0" applyAlignment="1" applyFont="1" applyNumberFormat="1">
      <alignment horizontal="center" vertical="bottom"/>
    </xf>
    <xf borderId="0" fillId="3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top"/>
    </xf>
    <xf borderId="0" fillId="3" fontId="4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readingOrder="0" vertical="center"/>
    </xf>
    <xf borderId="0" fillId="5" fontId="2" numFmtId="0" xfId="0" applyAlignment="1" applyFill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6" fontId="2" numFmtId="0" xfId="0" applyAlignment="1" applyFill="1" applyFont="1">
      <alignment horizontal="center" vertical="bottom"/>
    </xf>
    <xf borderId="0" fillId="7" fontId="1" numFmtId="0" xfId="0" applyAlignment="1" applyFill="1" applyFont="1">
      <alignment horizontal="center" vertical="bottom"/>
    </xf>
    <xf borderId="0" fillId="8" fontId="2" numFmtId="0" xfId="0" applyAlignment="1" applyFill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9" fontId="4" numFmtId="0" xfId="0" applyAlignment="1" applyFill="1" applyFont="1">
      <alignment horizontal="center" vertical="bottom"/>
    </xf>
    <xf borderId="0" fillId="9" fontId="4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4" numFmtId="11" xfId="0" applyAlignment="1" applyFont="1" applyNumberFormat="1">
      <alignment horizontal="center" vertical="bottom"/>
    </xf>
    <xf borderId="0" fillId="7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3" fontId="5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10" fontId="1" numFmtId="0" xfId="0" applyAlignment="1" applyFill="1" applyFont="1">
      <alignment horizontal="center" readingOrder="0" vertical="bottom"/>
    </xf>
    <xf borderId="0" fillId="5" fontId="2" numFmtId="0" xfId="0" applyAlignment="1" applyFont="1">
      <alignment horizontal="center" readingOrder="0" vertical="bottom"/>
    </xf>
    <xf borderId="0" fillId="6" fontId="2" numFmtId="0" xfId="0" applyAlignment="1" applyFont="1">
      <alignment horizontal="center" readingOrder="0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4" pivot="0" name="Sheet3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Shee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L12:N12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F13" displayName="_Astronomical_Data_" name="_Astronomical_Data_" id="2">
  <tableColumns count="6">
    <tableColumn name="TNS" id="1"/>
    <tableColumn name="MJD" id="2"/>
    <tableColumn name="Localization" id="3"/>
    <tableColumn name="RA_deg" id="4"/>
    <tableColumn name="Dec_deg" id="5"/>
    <tableColumn name="z_spectroscopic" id="6"/>
  </tableColumns>
  <tableStyleInfo name="Sheet3-style" showColumnStripes="0" showFirstColumn="1" showLastColumn="1" showRowStripes="1"/>
</table>
</file>

<file path=xl/tables/table3.xml><?xml version="1.0" encoding="utf-8"?>
<table xmlns="http://schemas.openxmlformats.org/spreadsheetml/2006/main" headerRowCount="0" ref="J27:M27" displayName="Table_2" name="Table_2" id="3">
  <tableColumns count="4">
    <tableColumn name="Column1" id="1"/>
    <tableColumn name="Column2" id="2"/>
    <tableColumn name="Column3" id="3"/>
    <tableColumn name="Column4" id="4"/>
  </tableColumns>
  <tableStyleInfo name="Sheet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2.75"/>
    <col customWidth="1" min="3" max="3" width="24.0"/>
    <col customWidth="1" min="4" max="6" width="26.13"/>
    <col customWidth="1" min="7" max="7" width="13.63"/>
    <col customWidth="1" min="8" max="8" width="12.63"/>
    <col customWidth="1" min="9" max="9" width="14.0"/>
    <col customWidth="1" min="10" max="10" width="18.25"/>
    <col customWidth="1" min="11" max="11" width="21.38"/>
    <col customWidth="1" min="12" max="12" width="25.13"/>
    <col customWidth="1" min="13" max="13" width="50.13"/>
    <col customWidth="1" min="14" max="14" width="41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3</v>
      </c>
      <c r="G1" s="5" t="s">
        <v>5</v>
      </c>
      <c r="H1" s="5" t="s">
        <v>6</v>
      </c>
      <c r="I1" s="5" t="s">
        <v>4</v>
      </c>
      <c r="J1" s="6" t="s">
        <v>7</v>
      </c>
      <c r="K1" s="5" t="s">
        <v>8</v>
      </c>
      <c r="L1" s="6" t="s">
        <v>9</v>
      </c>
      <c r="M1" s="7" t="s">
        <v>10</v>
      </c>
      <c r="N1" s="7" t="s">
        <v>11</v>
      </c>
      <c r="O1" s="8"/>
    </row>
    <row r="2">
      <c r="A2" s="9" t="s">
        <v>12</v>
      </c>
      <c r="B2" s="10" t="s">
        <v>13</v>
      </c>
      <c r="C2" s="11">
        <v>59617.8085036401</v>
      </c>
      <c r="D2" s="12" t="s">
        <v>14</v>
      </c>
      <c r="E2" s="13">
        <v>0.043</v>
      </c>
      <c r="F2" s="14" t="s">
        <v>15</v>
      </c>
      <c r="G2" s="13">
        <v>310.199525</v>
      </c>
      <c r="H2" s="13">
        <v>72.8823272222222</v>
      </c>
      <c r="I2" s="13">
        <v>0.043</v>
      </c>
      <c r="J2" s="15">
        <v>0.730525</v>
      </c>
      <c r="K2" s="16">
        <v>0.0445</v>
      </c>
      <c r="L2" s="16">
        <v>0.7781546259</v>
      </c>
      <c r="M2" s="17">
        <v>0.276</v>
      </c>
      <c r="N2" s="17" t="s">
        <v>16</v>
      </c>
      <c r="O2" s="8"/>
    </row>
    <row r="3">
      <c r="A3" s="9" t="s">
        <v>17</v>
      </c>
      <c r="B3" s="10" t="s">
        <v>18</v>
      </c>
      <c r="C3" s="11">
        <v>59648.2417207443</v>
      </c>
      <c r="D3" s="12" t="s">
        <v>19</v>
      </c>
      <c r="E3" s="13">
        <v>0.479</v>
      </c>
      <c r="F3" s="14" t="s">
        <v>20</v>
      </c>
      <c r="G3" s="13">
        <v>134.7205</v>
      </c>
      <c r="H3" s="13">
        <v>73.4908333333333</v>
      </c>
      <c r="I3" s="13">
        <v>0.479</v>
      </c>
      <c r="J3" s="18" t="s">
        <v>21</v>
      </c>
      <c r="K3" s="16" t="s">
        <v>21</v>
      </c>
      <c r="L3" s="17">
        <v>2.625420632</v>
      </c>
      <c r="M3" s="17">
        <v>0.151</v>
      </c>
      <c r="N3" s="17" t="s">
        <v>22</v>
      </c>
      <c r="O3" s="8"/>
    </row>
    <row r="4">
      <c r="A4" s="9" t="s">
        <v>23</v>
      </c>
      <c r="B4" s="10" t="s">
        <v>24</v>
      </c>
      <c r="C4" s="11">
        <v>59705.5970129235</v>
      </c>
      <c r="D4" s="12" t="s">
        <v>25</v>
      </c>
      <c r="E4" s="13">
        <v>0.3005</v>
      </c>
      <c r="F4" s="14" t="s">
        <v>26</v>
      </c>
      <c r="G4" s="13">
        <v>318.044833333333</v>
      </c>
      <c r="H4" s="13">
        <v>72.8272777777777</v>
      </c>
      <c r="I4" s="13">
        <v>0.3005</v>
      </c>
      <c r="J4" s="15">
        <v>0.42225</v>
      </c>
      <c r="K4" s="16">
        <v>0.0895</v>
      </c>
      <c r="L4" s="16">
        <v>0.6131321933</v>
      </c>
      <c r="M4" s="17">
        <v>0.831</v>
      </c>
      <c r="N4" s="17" t="s">
        <v>27</v>
      </c>
      <c r="O4" s="8"/>
    </row>
    <row r="5">
      <c r="A5" s="9" t="s">
        <v>28</v>
      </c>
      <c r="B5" s="10" t="s">
        <v>29</v>
      </c>
      <c r="C5" s="11">
        <v>59896.3865109765</v>
      </c>
      <c r="D5" s="19" t="s">
        <v>30</v>
      </c>
      <c r="E5" s="13">
        <v>0.2505</v>
      </c>
      <c r="F5" s="17" t="s">
        <v>31</v>
      </c>
      <c r="G5" s="13">
        <v>71.4109999999999</v>
      </c>
      <c r="H5" s="13">
        <v>70.3073888888888</v>
      </c>
      <c r="I5" s="13">
        <v>0.2505</v>
      </c>
      <c r="J5" s="15">
        <v>0.5954</v>
      </c>
      <c r="K5" s="16">
        <v>0.3</v>
      </c>
      <c r="L5" s="17">
        <v>0.497767771</v>
      </c>
      <c r="M5" s="17">
        <v>0.284</v>
      </c>
      <c r="N5" s="17" t="s">
        <v>32</v>
      </c>
      <c r="O5" s="8"/>
    </row>
    <row r="6">
      <c r="A6" s="9" t="s">
        <v>33</v>
      </c>
      <c r="B6" s="10" t="s">
        <v>34</v>
      </c>
      <c r="C6" s="11">
        <v>59916.0017508958</v>
      </c>
      <c r="D6" s="19" t="s">
        <v>35</v>
      </c>
      <c r="E6" s="11">
        <v>0.51</v>
      </c>
      <c r="F6" s="17" t="s">
        <v>36</v>
      </c>
      <c r="G6" s="11">
        <v>315.129541666666</v>
      </c>
      <c r="H6" s="11">
        <v>72.0375611111111</v>
      </c>
      <c r="I6" s="11">
        <v>0.51</v>
      </c>
      <c r="J6" s="15">
        <v>0.12105</v>
      </c>
      <c r="K6" s="16">
        <v>0.027</v>
      </c>
      <c r="L6" s="16">
        <v>0.629754282</v>
      </c>
      <c r="M6" s="17">
        <v>0.307</v>
      </c>
      <c r="N6" s="17" t="s">
        <v>37</v>
      </c>
      <c r="O6" s="8"/>
    </row>
    <row r="7">
      <c r="A7" s="9" t="s">
        <v>38</v>
      </c>
      <c r="B7" s="10" t="s">
        <v>39</v>
      </c>
      <c r="C7" s="11">
        <v>60010.3788577185</v>
      </c>
      <c r="D7" s="12" t="s">
        <v>40</v>
      </c>
      <c r="E7" s="11">
        <v>0.271</v>
      </c>
      <c r="F7" s="14" t="s">
        <v>41</v>
      </c>
      <c r="G7" s="11">
        <v>177.781333333333</v>
      </c>
      <c r="H7" s="11">
        <v>71.6956388888889</v>
      </c>
      <c r="I7" s="11">
        <v>0.271</v>
      </c>
      <c r="J7" s="15">
        <v>4.253</v>
      </c>
      <c r="K7" s="16">
        <v>0.14</v>
      </c>
      <c r="L7" s="16">
        <v>4.117785215</v>
      </c>
      <c r="M7" s="17">
        <v>0.568</v>
      </c>
      <c r="N7" s="17" t="s">
        <v>42</v>
      </c>
      <c r="O7" s="8"/>
    </row>
    <row r="8">
      <c r="A8" s="9" t="s">
        <v>43</v>
      </c>
      <c r="B8" s="10" t="s">
        <v>44</v>
      </c>
      <c r="C8" s="11">
        <v>60028.0716905725</v>
      </c>
      <c r="D8" s="12" t="s">
        <v>45</v>
      </c>
      <c r="E8" s="20"/>
      <c r="F8" s="14" t="s">
        <v>46</v>
      </c>
      <c r="G8" s="11">
        <v>88.188</v>
      </c>
      <c r="H8" s="11">
        <v>74.2004722222222</v>
      </c>
      <c r="I8" s="21"/>
      <c r="J8" s="15">
        <v>1.05345</v>
      </c>
      <c r="K8" s="16">
        <v>0.215</v>
      </c>
      <c r="L8" s="16">
        <v>1.091287275</v>
      </c>
      <c r="M8" s="17">
        <v>0.143</v>
      </c>
      <c r="N8" s="17" t="s">
        <v>47</v>
      </c>
      <c r="O8" s="8"/>
    </row>
    <row r="9">
      <c r="A9" s="9" t="s">
        <v>48</v>
      </c>
      <c r="B9" s="10" t="s">
        <v>49</v>
      </c>
      <c r="C9" s="11">
        <v>60369.370952243</v>
      </c>
      <c r="D9" s="12" t="s">
        <v>50</v>
      </c>
      <c r="E9" s="20"/>
      <c r="F9" s="14" t="s">
        <v>51</v>
      </c>
      <c r="G9" s="11">
        <v>335.97475</v>
      </c>
      <c r="H9" s="11">
        <v>73.02590556</v>
      </c>
      <c r="I9" s="21"/>
      <c r="J9" s="15">
        <v>7.6315</v>
      </c>
      <c r="K9" s="16">
        <v>0.091</v>
      </c>
      <c r="L9" s="16">
        <v>0.3580785559</v>
      </c>
      <c r="M9" s="17">
        <v>0.156</v>
      </c>
      <c r="N9" s="17" t="s">
        <v>52</v>
      </c>
      <c r="O9" s="8"/>
    </row>
    <row r="10">
      <c r="A10" s="9" t="s">
        <v>53</v>
      </c>
      <c r="B10" s="10" t="s">
        <v>54</v>
      </c>
      <c r="C10" s="11">
        <v>60170.3609267555</v>
      </c>
      <c r="D10" s="12" t="s">
        <v>55</v>
      </c>
      <c r="E10" s="11">
        <v>0.3024</v>
      </c>
      <c r="F10" s="14" t="s">
        <v>56</v>
      </c>
      <c r="G10" s="11">
        <v>305.037166666666</v>
      </c>
      <c r="H10" s="11">
        <v>70.7927666666666</v>
      </c>
      <c r="I10" s="11">
        <v>0.3024</v>
      </c>
      <c r="J10" s="15">
        <v>0.5372</v>
      </c>
      <c r="K10" s="16">
        <v>0.0925</v>
      </c>
      <c r="L10" s="16">
        <v>0.8087054239</v>
      </c>
      <c r="M10" s="17">
        <v>0.243</v>
      </c>
      <c r="N10" s="17" t="s">
        <v>57</v>
      </c>
      <c r="O10" s="8"/>
    </row>
    <row r="11">
      <c r="A11" s="9" t="s">
        <v>58</v>
      </c>
      <c r="B11" s="10" t="s">
        <v>59</v>
      </c>
      <c r="C11" s="11">
        <v>60200.207158083</v>
      </c>
      <c r="D11" s="12" t="s">
        <v>60</v>
      </c>
      <c r="E11" s="20"/>
      <c r="F11" s="14" t="s">
        <v>61</v>
      </c>
      <c r="G11" s="11">
        <v>39.7664999999999</v>
      </c>
      <c r="H11" s="11">
        <v>71.0178611111111</v>
      </c>
      <c r="I11" s="21"/>
      <c r="J11" s="15">
        <v>0.33955</v>
      </c>
      <c r="K11" s="16">
        <v>0.0685</v>
      </c>
      <c r="L11" s="16">
        <v>0.1464607647</v>
      </c>
      <c r="M11" s="17">
        <v>0.208</v>
      </c>
      <c r="N11" s="17" t="s">
        <v>62</v>
      </c>
      <c r="O11" s="8"/>
    </row>
    <row r="12">
      <c r="A12" s="9" t="s">
        <v>63</v>
      </c>
      <c r="B12" s="10" t="s">
        <v>64</v>
      </c>
      <c r="C12" s="11">
        <v>60331.1042800127</v>
      </c>
      <c r="D12" s="12" t="s">
        <v>65</v>
      </c>
      <c r="E12" s="11">
        <v>0.074</v>
      </c>
      <c r="F12" s="14" t="s">
        <v>66</v>
      </c>
      <c r="G12" s="11">
        <v>312.619124999999</v>
      </c>
      <c r="H12" s="11">
        <v>73.9</v>
      </c>
      <c r="I12" s="11">
        <v>0.074</v>
      </c>
      <c r="J12" s="15">
        <v>1.576</v>
      </c>
      <c r="K12" s="16">
        <v>0.35</v>
      </c>
      <c r="L12" s="17">
        <v>0.7760343596</v>
      </c>
      <c r="M12" s="17">
        <v>0.13</v>
      </c>
      <c r="N12" s="17" t="s">
        <v>67</v>
      </c>
      <c r="O12" s="8"/>
    </row>
    <row r="13">
      <c r="A13" s="9" t="s">
        <v>68</v>
      </c>
      <c r="B13" s="10" t="s">
        <v>69</v>
      </c>
      <c r="C13" s="11">
        <v>60343.8318219485</v>
      </c>
      <c r="D13" s="12" t="s">
        <v>70</v>
      </c>
      <c r="E13" s="16">
        <v>0.287</v>
      </c>
      <c r="F13" s="14" t="s">
        <v>71</v>
      </c>
      <c r="G13" s="16">
        <v>169.98354167</v>
      </c>
      <c r="H13" s="16">
        <v>70.67622222</v>
      </c>
      <c r="I13" s="16">
        <v>0.287</v>
      </c>
      <c r="J13" s="15">
        <v>0.6367</v>
      </c>
      <c r="K13" s="16">
        <v>0.033</v>
      </c>
      <c r="L13" s="16">
        <v>4.07304557</v>
      </c>
      <c r="M13" s="17">
        <v>0.023</v>
      </c>
      <c r="N13" s="17" t="s">
        <v>72</v>
      </c>
      <c r="O13" s="8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8"/>
    </row>
    <row r="15">
      <c r="A15" s="23" t="s">
        <v>73</v>
      </c>
      <c r="F15" s="22"/>
      <c r="G15" s="22"/>
      <c r="H15" s="22"/>
      <c r="I15" s="22"/>
      <c r="J15" s="22"/>
      <c r="K15" s="22"/>
      <c r="L15" s="22"/>
      <c r="M15" s="22"/>
      <c r="N15" s="22"/>
      <c r="O15" s="8"/>
    </row>
    <row r="16">
      <c r="F16" s="22"/>
      <c r="G16" s="22"/>
      <c r="H16" s="22"/>
      <c r="I16" s="22"/>
      <c r="J16" s="22"/>
      <c r="K16" s="22"/>
      <c r="L16" s="22"/>
      <c r="M16" s="22"/>
      <c r="N16" s="22"/>
      <c r="O16" s="8"/>
    </row>
    <row r="17" ht="159.0" customHeight="1">
      <c r="F17" s="22"/>
      <c r="G17" s="22"/>
      <c r="H17" s="22"/>
      <c r="I17" s="22"/>
      <c r="J17" s="22"/>
      <c r="K17" s="22"/>
      <c r="L17" s="22"/>
      <c r="M17" s="22"/>
      <c r="N17" s="22"/>
      <c r="O17" s="8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8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>
      <c r="A20" s="9" t="s">
        <v>12</v>
      </c>
      <c r="B20" s="5" t="s">
        <v>74</v>
      </c>
      <c r="C20" s="3" t="s">
        <v>75</v>
      </c>
      <c r="D20" s="5"/>
      <c r="E20" s="5"/>
      <c r="F20" s="5" t="s">
        <v>76</v>
      </c>
      <c r="G20" s="5" t="s">
        <v>5</v>
      </c>
      <c r="H20" s="5" t="s">
        <v>6</v>
      </c>
      <c r="I20" s="5" t="s">
        <v>77</v>
      </c>
      <c r="J20" s="3" t="s">
        <v>78</v>
      </c>
      <c r="K20" s="5" t="s">
        <v>79</v>
      </c>
      <c r="L20" s="5" t="s">
        <v>80</v>
      </c>
      <c r="M20" s="5" t="s">
        <v>81</v>
      </c>
      <c r="N20" s="22"/>
      <c r="O20" s="22"/>
    </row>
    <row r="21">
      <c r="A21" s="24" t="s">
        <v>82</v>
      </c>
      <c r="B21" s="10" t="s">
        <v>83</v>
      </c>
      <c r="C21" s="16" t="s">
        <v>84</v>
      </c>
      <c r="D21" s="16"/>
      <c r="E21" s="16"/>
      <c r="F21" s="16">
        <v>75.8927078047416</v>
      </c>
      <c r="G21" s="16">
        <v>310.09129027</v>
      </c>
      <c r="H21" s="16">
        <v>72.8104170299999</v>
      </c>
      <c r="I21" s="16">
        <v>0.012668989</v>
      </c>
      <c r="J21" s="16" t="s">
        <v>85</v>
      </c>
      <c r="K21" s="16">
        <v>0.7741557</v>
      </c>
      <c r="L21" s="16">
        <v>0.21411066</v>
      </c>
      <c r="M21" s="16">
        <v>0.011733597</v>
      </c>
      <c r="N21" s="22"/>
      <c r="O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</row>
    <row r="23">
      <c r="A23" s="9" t="s">
        <v>17</v>
      </c>
      <c r="B23" s="5" t="s">
        <v>74</v>
      </c>
      <c r="C23" s="3" t="s">
        <v>75</v>
      </c>
      <c r="D23" s="5"/>
      <c r="E23" s="5"/>
      <c r="F23" s="5" t="s">
        <v>76</v>
      </c>
      <c r="G23" s="5" t="s">
        <v>5</v>
      </c>
      <c r="H23" s="5" t="s">
        <v>6</v>
      </c>
      <c r="I23" s="5" t="s">
        <v>77</v>
      </c>
      <c r="J23" s="3" t="s">
        <v>78</v>
      </c>
      <c r="K23" s="3" t="s">
        <v>86</v>
      </c>
      <c r="L23" s="3" t="s">
        <v>75</v>
      </c>
      <c r="M23" s="22"/>
      <c r="N23" s="8"/>
      <c r="O23" s="8"/>
    </row>
    <row r="24">
      <c r="A24" s="24" t="s">
        <v>82</v>
      </c>
      <c r="B24" s="16">
        <v>1472.0</v>
      </c>
      <c r="C24" s="16" t="s">
        <v>87</v>
      </c>
      <c r="D24" s="16"/>
      <c r="E24" s="16"/>
      <c r="F24" s="16">
        <v>104.022589060453</v>
      </c>
      <c r="G24" s="16">
        <v>134.735571561066</v>
      </c>
      <c r="H24" s="16">
        <v>73.4910348658328</v>
      </c>
      <c r="I24" s="16">
        <v>0.57313246</v>
      </c>
      <c r="J24" s="25" t="s">
        <v>88</v>
      </c>
      <c r="K24" s="22"/>
      <c r="L24" s="22"/>
      <c r="M24" s="22"/>
      <c r="N24" s="22"/>
      <c r="O24" s="22"/>
    </row>
    <row r="25">
      <c r="A25" s="24" t="s">
        <v>82</v>
      </c>
      <c r="B25" s="16">
        <v>1473.0</v>
      </c>
      <c r="C25" s="16" t="s">
        <v>87</v>
      </c>
      <c r="D25" s="16"/>
      <c r="E25" s="16"/>
      <c r="F25" s="16">
        <v>104.827285794908</v>
      </c>
      <c r="G25" s="16">
        <v>134.739524091036</v>
      </c>
      <c r="H25" s="16">
        <v>73.4908098966507</v>
      </c>
      <c r="I25" s="16">
        <v>0.3819289</v>
      </c>
      <c r="J25" s="25" t="s">
        <v>88</v>
      </c>
      <c r="K25" s="22"/>
      <c r="L25" s="22"/>
      <c r="M25" s="22"/>
      <c r="N25" s="22"/>
      <c r="O25" s="22"/>
    </row>
    <row r="26">
      <c r="A26" s="24" t="s">
        <v>82</v>
      </c>
      <c r="B26" s="16">
        <v>1582.0</v>
      </c>
      <c r="C26" s="16" t="s">
        <v>87</v>
      </c>
      <c r="D26" s="16"/>
      <c r="E26" s="16"/>
      <c r="F26" s="16">
        <v>183.682034390874</v>
      </c>
      <c r="G26" s="16">
        <v>134.728384140236</v>
      </c>
      <c r="H26" s="16">
        <v>73.4976520131594</v>
      </c>
      <c r="I26" s="16">
        <v>0.6445946</v>
      </c>
      <c r="J26" s="25" t="s">
        <v>89</v>
      </c>
      <c r="K26" s="22"/>
      <c r="L26" s="22"/>
      <c r="M26" s="22"/>
      <c r="N26" s="22"/>
      <c r="O26" s="22"/>
    </row>
    <row r="27">
      <c r="A27" s="24" t="s">
        <v>82</v>
      </c>
      <c r="B27" s="16" t="s">
        <v>90</v>
      </c>
      <c r="C27" s="16" t="s">
        <v>84</v>
      </c>
      <c r="D27" s="16"/>
      <c r="E27" s="16"/>
      <c r="F27" s="16">
        <v>103.328324810755</v>
      </c>
      <c r="G27" s="16">
        <v>134.7356692</v>
      </c>
      <c r="H27" s="16">
        <v>73.491054</v>
      </c>
      <c r="I27" s="16">
        <v>0.557516099999999</v>
      </c>
      <c r="J27" s="16" t="s">
        <v>85</v>
      </c>
      <c r="K27" s="16">
        <v>0.99067277</v>
      </c>
      <c r="L27" s="16">
        <v>9.1412605E-4</v>
      </c>
      <c r="M27" s="16">
        <v>0.00841313699999999</v>
      </c>
      <c r="N27" s="22"/>
      <c r="O27" s="22"/>
    </row>
    <row r="28">
      <c r="A28" s="9" t="s">
        <v>17</v>
      </c>
      <c r="B28" s="5" t="s">
        <v>91</v>
      </c>
      <c r="C28" s="3" t="s">
        <v>75</v>
      </c>
      <c r="D28" s="5"/>
      <c r="E28" s="5"/>
      <c r="F28" s="5" t="s">
        <v>76</v>
      </c>
      <c r="G28" s="5" t="s">
        <v>5</v>
      </c>
      <c r="H28" s="5" t="s">
        <v>6</v>
      </c>
      <c r="I28" s="5" t="s">
        <v>77</v>
      </c>
      <c r="J28" s="3" t="s">
        <v>92</v>
      </c>
      <c r="K28" s="5" t="s">
        <v>93</v>
      </c>
      <c r="L28" s="3" t="s">
        <v>94</v>
      </c>
      <c r="M28" s="3" t="s">
        <v>95</v>
      </c>
      <c r="N28" s="22"/>
      <c r="O28" s="22"/>
    </row>
    <row r="29">
      <c r="A29" s="26" t="s">
        <v>96</v>
      </c>
      <c r="B29" s="16" t="s">
        <v>97</v>
      </c>
      <c r="C29" s="16" t="s">
        <v>98</v>
      </c>
      <c r="D29" s="16"/>
      <c r="E29" s="16"/>
      <c r="F29" s="16">
        <v>2039.36</v>
      </c>
      <c r="G29" s="16">
        <v>133.94167</v>
      </c>
      <c r="H29" s="16">
        <f>+73.37494</f>
        <v>73.37494</v>
      </c>
      <c r="I29" s="16">
        <v>0.1216</v>
      </c>
      <c r="J29" s="16">
        <v>0.519</v>
      </c>
      <c r="K29" s="16">
        <v>13.72</v>
      </c>
      <c r="L29" s="16">
        <v>0.64</v>
      </c>
      <c r="M29" s="16">
        <v>7.0</v>
      </c>
      <c r="N29" s="22"/>
      <c r="O29" s="22"/>
    </row>
    <row r="30">
      <c r="A30" s="26" t="s">
        <v>96</v>
      </c>
      <c r="B30" s="16" t="s">
        <v>99</v>
      </c>
      <c r="C30" s="16" t="s">
        <v>98</v>
      </c>
      <c r="D30" s="16"/>
      <c r="E30" s="16"/>
      <c r="F30" s="16">
        <v>5210.8</v>
      </c>
      <c r="G30" s="16">
        <v>133.88272</v>
      </c>
      <c r="H30" s="16">
        <f>+73.40887</f>
        <v>73.40887</v>
      </c>
      <c r="I30" s="16">
        <v>0.4239</v>
      </c>
      <c r="J30" s="16">
        <v>0.577</v>
      </c>
      <c r="K30" s="16">
        <v>19.64</v>
      </c>
      <c r="L30" s="16">
        <v>0.9</v>
      </c>
      <c r="M30" s="16">
        <v>10.0</v>
      </c>
      <c r="N30" s="22"/>
      <c r="O30" s="22"/>
    </row>
    <row r="31">
      <c r="A31" s="26" t="s">
        <v>96</v>
      </c>
      <c r="B31" s="16" t="s">
        <v>100</v>
      </c>
      <c r="C31" s="16" t="s">
        <v>98</v>
      </c>
      <c r="D31" s="16"/>
      <c r="E31" s="16"/>
      <c r="F31" s="16">
        <v>5689.99</v>
      </c>
      <c r="G31" s="16">
        <v>134.53415</v>
      </c>
      <c r="H31" s="16">
        <f>+73.20953</f>
        <v>73.20953</v>
      </c>
      <c r="I31" s="16">
        <v>0.3975</v>
      </c>
      <c r="J31" s="16">
        <v>0.591</v>
      </c>
      <c r="K31" s="16">
        <v>12.1</v>
      </c>
      <c r="L31" s="16">
        <v>0.56</v>
      </c>
      <c r="M31" s="16">
        <v>11.0</v>
      </c>
      <c r="N31" s="22"/>
      <c r="O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</row>
    <row r="33">
      <c r="A33" s="9" t="s">
        <v>23</v>
      </c>
      <c r="B33" s="5" t="s">
        <v>74</v>
      </c>
      <c r="C33" s="3" t="s">
        <v>75</v>
      </c>
      <c r="D33" s="5"/>
      <c r="E33" s="5"/>
      <c r="F33" s="5" t="s">
        <v>76</v>
      </c>
      <c r="G33" s="5" t="s">
        <v>5</v>
      </c>
      <c r="H33" s="5" t="s">
        <v>6</v>
      </c>
      <c r="I33" s="5" t="s">
        <v>77</v>
      </c>
      <c r="J33" s="3" t="s">
        <v>78</v>
      </c>
      <c r="K33" s="3" t="s">
        <v>101</v>
      </c>
      <c r="L33" s="22"/>
      <c r="M33" s="22"/>
      <c r="N33" s="22"/>
      <c r="O33" s="22"/>
    </row>
    <row r="34">
      <c r="A34" s="22"/>
      <c r="B34" s="16" t="s">
        <v>102</v>
      </c>
      <c r="C34" s="16" t="s">
        <v>84</v>
      </c>
      <c r="D34" s="16"/>
      <c r="E34" s="16"/>
      <c r="F34" s="16">
        <v>73.8744241519932</v>
      </c>
      <c r="G34" s="16">
        <v>318.06443746</v>
      </c>
      <c r="H34" s="16">
        <v>72.8290487799999</v>
      </c>
      <c r="I34" s="16">
        <v>0.198661474045396</v>
      </c>
      <c r="J34" s="16" t="s">
        <v>85</v>
      </c>
      <c r="K34" s="16">
        <v>0.87636614</v>
      </c>
      <c r="L34" s="22"/>
      <c r="M34" s="22"/>
      <c r="N34" s="22"/>
      <c r="O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</row>
    <row r="36">
      <c r="A36" s="27" t="s">
        <v>28</v>
      </c>
      <c r="B36" s="28" t="s">
        <v>103</v>
      </c>
      <c r="C36" s="28" t="s">
        <v>103</v>
      </c>
      <c r="D36" s="28"/>
      <c r="E36" s="28"/>
      <c r="F36" s="28" t="s">
        <v>103</v>
      </c>
      <c r="G36" s="28" t="s">
        <v>103</v>
      </c>
      <c r="H36" s="28" t="s">
        <v>103</v>
      </c>
      <c r="I36" s="28" t="s">
        <v>103</v>
      </c>
      <c r="J36" s="28" t="s">
        <v>103</v>
      </c>
      <c r="K36" s="28" t="s">
        <v>103</v>
      </c>
      <c r="L36" s="28" t="s">
        <v>103</v>
      </c>
      <c r="M36" s="22"/>
      <c r="N36" s="22"/>
      <c r="O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</row>
    <row r="38">
      <c r="A38" s="9" t="s">
        <v>33</v>
      </c>
      <c r="B38" s="5" t="s">
        <v>74</v>
      </c>
      <c r="C38" s="3" t="s">
        <v>75</v>
      </c>
      <c r="D38" s="5"/>
      <c r="E38" s="5"/>
      <c r="F38" s="5" t="s">
        <v>76</v>
      </c>
      <c r="G38" s="5" t="s">
        <v>5</v>
      </c>
      <c r="H38" s="5" t="s">
        <v>6</v>
      </c>
      <c r="I38" s="5" t="s">
        <v>77</v>
      </c>
      <c r="J38" s="3" t="s">
        <v>78</v>
      </c>
      <c r="K38" s="5" t="s">
        <v>79</v>
      </c>
      <c r="L38" s="5" t="s">
        <v>80</v>
      </c>
      <c r="M38" s="5" t="s">
        <v>81</v>
      </c>
      <c r="N38" s="22"/>
      <c r="O38" s="22"/>
    </row>
    <row r="39">
      <c r="A39" s="24" t="s">
        <v>82</v>
      </c>
      <c r="B39" s="16" t="s">
        <v>104</v>
      </c>
      <c r="C39" s="16" t="s">
        <v>84</v>
      </c>
      <c r="D39" s="16"/>
      <c r="E39" s="16"/>
      <c r="F39" s="16">
        <v>231.956938856697</v>
      </c>
      <c r="G39" s="16">
        <v>315.13290591</v>
      </c>
      <c r="H39" s="16">
        <v>72.04657361</v>
      </c>
      <c r="I39" s="16">
        <v>0.64319044</v>
      </c>
      <c r="J39" s="16" t="s">
        <v>85</v>
      </c>
      <c r="K39" s="16">
        <v>0.90788466</v>
      </c>
      <c r="L39" s="16">
        <v>0.0726387</v>
      </c>
      <c r="M39" s="16">
        <v>0.019476606</v>
      </c>
      <c r="N39" s="22"/>
      <c r="O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</row>
    <row r="41">
      <c r="A41" s="9" t="s">
        <v>38</v>
      </c>
      <c r="B41" s="5" t="s">
        <v>74</v>
      </c>
      <c r="C41" s="3" t="s">
        <v>75</v>
      </c>
      <c r="D41" s="5"/>
      <c r="E41" s="5"/>
      <c r="F41" s="5" t="s">
        <v>76</v>
      </c>
      <c r="G41" s="5" t="s">
        <v>5</v>
      </c>
      <c r="H41" s="5" t="s">
        <v>6</v>
      </c>
      <c r="I41" s="5" t="s">
        <v>77</v>
      </c>
      <c r="J41" s="3" t="s">
        <v>78</v>
      </c>
      <c r="K41" s="5" t="s">
        <v>79</v>
      </c>
      <c r="L41" s="5" t="s">
        <v>80</v>
      </c>
      <c r="M41" s="5" t="s">
        <v>81</v>
      </c>
      <c r="N41" s="29" t="s">
        <v>105</v>
      </c>
      <c r="O41" s="22"/>
    </row>
    <row r="42">
      <c r="A42" s="24" t="s">
        <v>82</v>
      </c>
      <c r="B42" s="16">
        <v>832.0</v>
      </c>
      <c r="C42" s="16" t="s">
        <v>87</v>
      </c>
      <c r="D42" s="16"/>
      <c r="E42" s="16"/>
      <c r="F42" s="16">
        <v>158.807783224078</v>
      </c>
      <c r="G42" s="16">
        <v>177.763567187231</v>
      </c>
      <c r="H42" s="16">
        <v>71.6848639757939</v>
      </c>
      <c r="I42" s="16">
        <v>0.21739762</v>
      </c>
      <c r="J42" s="25" t="s">
        <v>106</v>
      </c>
      <c r="K42" s="22"/>
      <c r="L42" s="22"/>
      <c r="M42" s="22"/>
      <c r="N42" s="22"/>
      <c r="O42" s="22"/>
    </row>
    <row r="43">
      <c r="A43" s="24" t="s">
        <v>82</v>
      </c>
      <c r="B43" s="16">
        <v>953.0</v>
      </c>
      <c r="C43" s="16" t="s">
        <v>87</v>
      </c>
      <c r="D43" s="16"/>
      <c r="E43" s="16"/>
      <c r="F43" s="16">
        <v>242.673341277191</v>
      </c>
      <c r="G43" s="16">
        <v>177.831402433642</v>
      </c>
      <c r="H43" s="16">
        <v>71.6933691856152</v>
      </c>
      <c r="I43" s="16">
        <v>0.26768085</v>
      </c>
      <c r="J43" s="25" t="s">
        <v>88</v>
      </c>
      <c r="K43" s="22"/>
      <c r="L43" s="22"/>
      <c r="M43" s="22"/>
      <c r="N43" s="22"/>
      <c r="O43" s="22"/>
    </row>
    <row r="44">
      <c r="A44" s="24" t="s">
        <v>82</v>
      </c>
      <c r="B44" s="16">
        <v>983.0</v>
      </c>
      <c r="C44" s="16" t="s">
        <v>87</v>
      </c>
      <c r="D44" s="16"/>
      <c r="E44" s="16"/>
      <c r="F44" s="16">
        <v>122.205369735019</v>
      </c>
      <c r="G44" s="16">
        <v>177.816320848757</v>
      </c>
      <c r="H44" s="16">
        <v>71.6950113086289</v>
      </c>
      <c r="I44" s="16">
        <v>0.17635022</v>
      </c>
      <c r="J44" s="25" t="s">
        <v>89</v>
      </c>
      <c r="K44" s="22"/>
      <c r="L44" s="22"/>
      <c r="M44" s="22"/>
      <c r="N44" s="30" t="s">
        <v>107</v>
      </c>
      <c r="O44" s="22"/>
    </row>
    <row r="45">
      <c r="A45" s="24" t="s">
        <v>82</v>
      </c>
      <c r="B45" s="16">
        <v>986.0</v>
      </c>
      <c r="C45" s="16" t="s">
        <v>87</v>
      </c>
      <c r="D45" s="16"/>
      <c r="E45" s="16"/>
      <c r="F45" s="16">
        <v>203.414653391214</v>
      </c>
      <c r="G45" s="16">
        <v>177.730959310553</v>
      </c>
      <c r="H45" s="16">
        <v>71.6953465587451</v>
      </c>
      <c r="I45" s="16">
        <v>0.21239159</v>
      </c>
      <c r="J45" s="25" t="s">
        <v>88</v>
      </c>
      <c r="K45" s="22"/>
      <c r="L45" s="22"/>
      <c r="M45" s="22"/>
      <c r="N45" s="22"/>
      <c r="O45" s="22"/>
    </row>
    <row r="46">
      <c r="A46" s="24" t="s">
        <v>82</v>
      </c>
      <c r="B46" s="16">
        <v>1072.0</v>
      </c>
      <c r="C46" s="16" t="s">
        <v>87</v>
      </c>
      <c r="D46" s="16"/>
      <c r="E46" s="16"/>
      <c r="F46" s="16">
        <v>105.242045408184</v>
      </c>
      <c r="G46" s="31">
        <v>177.770444698135</v>
      </c>
      <c r="H46" s="31">
        <v>71.7005065539402</v>
      </c>
      <c r="I46" s="31">
        <v>0.33110702</v>
      </c>
      <c r="J46" s="32" t="s">
        <v>89</v>
      </c>
      <c r="K46" s="33" t="s">
        <v>108</v>
      </c>
      <c r="L46" s="22"/>
      <c r="M46" s="22"/>
      <c r="N46" s="22"/>
      <c r="O46" s="22"/>
    </row>
    <row r="47">
      <c r="A47" s="24" t="s">
        <v>82</v>
      </c>
      <c r="B47" s="16">
        <v>1153.0</v>
      </c>
      <c r="C47" s="16" t="s">
        <v>87</v>
      </c>
      <c r="D47" s="16"/>
      <c r="E47" s="16"/>
      <c r="F47" s="16">
        <v>135.780463742394</v>
      </c>
      <c r="G47" s="16">
        <v>177.778054058051</v>
      </c>
      <c r="H47" s="16">
        <v>71.7055921937232</v>
      </c>
      <c r="I47" s="16">
        <v>0.22799593</v>
      </c>
      <c r="J47" s="25" t="s">
        <v>88</v>
      </c>
      <c r="K47" s="22"/>
      <c r="L47" s="22"/>
      <c r="M47" s="22"/>
      <c r="N47" s="22"/>
      <c r="O47" s="22"/>
    </row>
    <row r="48">
      <c r="A48" s="24" t="s">
        <v>82</v>
      </c>
      <c r="B48" s="16">
        <v>1190.0</v>
      </c>
      <c r="C48" s="16" t="s">
        <v>87</v>
      </c>
      <c r="D48" s="16"/>
      <c r="E48" s="16"/>
      <c r="F48" s="16">
        <v>121.121304975537</v>
      </c>
      <c r="G48" s="16">
        <v>177.781121623949</v>
      </c>
      <c r="H48" s="16">
        <v>71.7097754067686</v>
      </c>
      <c r="I48" s="16">
        <v>0.12906177</v>
      </c>
      <c r="J48" s="25" t="s">
        <v>106</v>
      </c>
      <c r="K48" s="22"/>
      <c r="L48" s="22"/>
      <c r="M48" s="22"/>
      <c r="N48" s="22"/>
      <c r="O48" s="22"/>
    </row>
    <row r="49">
      <c r="A49" s="24" t="s">
        <v>82</v>
      </c>
      <c r="B49" s="16" t="s">
        <v>109</v>
      </c>
      <c r="C49" s="16" t="s">
        <v>84</v>
      </c>
      <c r="D49" s="16"/>
      <c r="E49" s="16"/>
      <c r="F49" s="16">
        <v>130.615130812529</v>
      </c>
      <c r="G49" s="16">
        <v>177.76356778</v>
      </c>
      <c r="H49" s="16">
        <v>71.68486803</v>
      </c>
      <c r="I49" s="16">
        <v>0.169772549999999</v>
      </c>
      <c r="J49" s="16" t="s">
        <v>85</v>
      </c>
      <c r="K49" s="16">
        <v>0.9664329</v>
      </c>
      <c r="L49" s="16">
        <v>0.028281566</v>
      </c>
      <c r="M49" s="16">
        <v>0.005285486</v>
      </c>
      <c r="N49" s="22"/>
      <c r="O49" s="22"/>
    </row>
    <row r="50">
      <c r="A50" s="24" t="s">
        <v>82</v>
      </c>
      <c r="B50" s="16" t="s">
        <v>110</v>
      </c>
      <c r="C50" s="16" t="s">
        <v>84</v>
      </c>
      <c r="D50" s="16"/>
      <c r="E50" s="16"/>
      <c r="F50" s="16">
        <v>195.890776111364</v>
      </c>
      <c r="G50" s="16">
        <v>177.83137459</v>
      </c>
      <c r="H50" s="34">
        <v>71.69337233</v>
      </c>
      <c r="I50" s="16">
        <v>0.20139003</v>
      </c>
      <c r="J50" s="16" t="s">
        <v>85</v>
      </c>
      <c r="K50" s="16">
        <v>0.9982816</v>
      </c>
      <c r="L50" s="34">
        <v>8.6437816E-5</v>
      </c>
      <c r="M50" s="16">
        <v>0.0016319678</v>
      </c>
      <c r="N50" s="22"/>
      <c r="O50" s="22"/>
    </row>
    <row r="51">
      <c r="A51" s="24" t="s">
        <v>82</v>
      </c>
      <c r="B51" s="16" t="s">
        <v>111</v>
      </c>
      <c r="C51" s="16" t="s">
        <v>84</v>
      </c>
      <c r="D51" s="16"/>
      <c r="E51" s="16"/>
      <c r="F51" s="16">
        <v>111.807174483122</v>
      </c>
      <c r="G51" s="16">
        <v>177.77806754</v>
      </c>
      <c r="H51" s="16">
        <v>71.70558959</v>
      </c>
      <c r="I51" s="16">
        <v>0.177809369999999</v>
      </c>
      <c r="J51" s="16" t="s">
        <v>85</v>
      </c>
      <c r="K51" s="16">
        <v>0.99739957</v>
      </c>
      <c r="L51" s="16">
        <v>0.001632411</v>
      </c>
      <c r="M51" s="16">
        <v>9.6813584E-4</v>
      </c>
      <c r="N51" s="22"/>
      <c r="O51" s="22"/>
    </row>
    <row r="52">
      <c r="A52" s="24" t="s">
        <v>82</v>
      </c>
      <c r="B52" s="16" t="s">
        <v>112</v>
      </c>
      <c r="C52" s="16" t="s">
        <v>84</v>
      </c>
      <c r="D52" s="16"/>
      <c r="E52" s="16"/>
      <c r="F52" s="16">
        <v>101.744429532213</v>
      </c>
      <c r="G52" s="16">
        <v>177.78113218</v>
      </c>
      <c r="H52" s="16">
        <v>71.70977418</v>
      </c>
      <c r="I52" s="16">
        <v>0.10554664</v>
      </c>
      <c r="J52" s="16" t="s">
        <v>85</v>
      </c>
      <c r="K52" s="16">
        <v>0.99858606</v>
      </c>
      <c r="L52" s="16">
        <v>0.0011536868</v>
      </c>
      <c r="M52" s="16">
        <v>2.6021377E-4</v>
      </c>
      <c r="N52" s="22"/>
      <c r="O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</row>
    <row r="55">
      <c r="A55" s="9" t="s">
        <v>38</v>
      </c>
      <c r="B55" s="5" t="s">
        <v>91</v>
      </c>
      <c r="C55" s="3" t="s">
        <v>75</v>
      </c>
      <c r="D55" s="5"/>
      <c r="E55" s="5"/>
      <c r="F55" s="5" t="s">
        <v>76</v>
      </c>
      <c r="G55" s="5" t="s">
        <v>5</v>
      </c>
      <c r="H55" s="5" t="s">
        <v>6</v>
      </c>
      <c r="I55" s="5" t="s">
        <v>77</v>
      </c>
      <c r="J55" s="3" t="s">
        <v>92</v>
      </c>
      <c r="K55" s="5" t="s">
        <v>93</v>
      </c>
      <c r="L55" s="5" t="s">
        <v>113</v>
      </c>
      <c r="M55" s="5" t="s">
        <v>114</v>
      </c>
      <c r="N55" s="16"/>
      <c r="O55" s="22"/>
    </row>
    <row r="56">
      <c r="A56" s="26" t="s">
        <v>96</v>
      </c>
      <c r="B56" s="16" t="s">
        <v>115</v>
      </c>
      <c r="C56" s="16" t="s">
        <v>98</v>
      </c>
      <c r="D56" s="16"/>
      <c r="E56" s="16"/>
      <c r="F56" s="16">
        <v>603.64</v>
      </c>
      <c r="G56" s="16">
        <v>177.83488</v>
      </c>
      <c r="H56" s="16">
        <f>+71.74319</f>
        <v>71.74319</v>
      </c>
      <c r="I56" s="16">
        <v>0.1938</v>
      </c>
      <c r="J56" s="16">
        <v>0.729</v>
      </c>
      <c r="K56" s="16">
        <v>32.69</v>
      </c>
      <c r="L56" s="16">
        <v>1.48</v>
      </c>
      <c r="M56" s="16">
        <v>14.0</v>
      </c>
      <c r="N56" s="16"/>
      <c r="O56" s="22"/>
    </row>
    <row r="57">
      <c r="A57" s="26" t="s">
        <v>96</v>
      </c>
      <c r="B57" s="16" t="s">
        <v>116</v>
      </c>
      <c r="C57" s="16" t="s">
        <v>98</v>
      </c>
      <c r="D57" s="16"/>
      <c r="E57" s="16"/>
      <c r="F57" s="16">
        <v>1054.68</v>
      </c>
      <c r="G57" s="16">
        <v>177.86761</v>
      </c>
      <c r="H57" s="16">
        <f>+71.61024</f>
        <v>71.61024</v>
      </c>
      <c r="I57" s="16">
        <v>0.1897</v>
      </c>
      <c r="J57" s="16">
        <v>0.841</v>
      </c>
      <c r="K57" s="16">
        <v>41.57</v>
      </c>
      <c r="L57" s="16">
        <v>1.86</v>
      </c>
      <c r="M57" s="16">
        <v>32.0</v>
      </c>
      <c r="N57" s="16"/>
      <c r="O57" s="22"/>
    </row>
    <row r="58">
      <c r="A58" s="26" t="s">
        <v>96</v>
      </c>
      <c r="B58" s="16" t="s">
        <v>117</v>
      </c>
      <c r="C58" s="16" t="s">
        <v>98</v>
      </c>
      <c r="D58" s="16"/>
      <c r="E58" s="16"/>
      <c r="F58" s="16">
        <v>1569.18</v>
      </c>
      <c r="G58" s="16">
        <v>177.4332</v>
      </c>
      <c r="H58" s="16">
        <f>+71.7301</f>
        <v>71.7301</v>
      </c>
      <c r="I58" s="16">
        <v>0.2309</v>
      </c>
      <c r="J58" s="16">
        <v>0.531</v>
      </c>
      <c r="K58" s="16">
        <v>11.21</v>
      </c>
      <c r="L58" s="16">
        <v>0.52</v>
      </c>
      <c r="M58" s="16">
        <v>6.0</v>
      </c>
      <c r="N58" s="16"/>
      <c r="O58" s="22"/>
    </row>
    <row r="59">
      <c r="A59" s="26" t="s">
        <v>96</v>
      </c>
      <c r="B59" s="16" t="s">
        <v>118</v>
      </c>
      <c r="C59" s="16" t="s">
        <v>98</v>
      </c>
      <c r="D59" s="16"/>
      <c r="E59" s="16"/>
      <c r="F59" s="16">
        <v>2104.65</v>
      </c>
      <c r="G59" s="16">
        <v>177.91873</v>
      </c>
      <c r="H59" s="16">
        <f>+71.45892</f>
        <v>71.45892</v>
      </c>
      <c r="I59" s="16">
        <v>0.1322</v>
      </c>
      <c r="J59" s="16">
        <v>0.633</v>
      </c>
      <c r="K59" s="16">
        <v>20.42</v>
      </c>
      <c r="L59" s="16">
        <v>0.93</v>
      </c>
      <c r="M59" s="16">
        <v>11.0</v>
      </c>
      <c r="N59" s="16"/>
      <c r="O59" s="22"/>
    </row>
    <row r="60">
      <c r="A60" s="26" t="s">
        <v>96</v>
      </c>
      <c r="B60" s="16" t="s">
        <v>119</v>
      </c>
      <c r="C60" s="16" t="s">
        <v>98</v>
      </c>
      <c r="D60" s="16"/>
      <c r="E60" s="16"/>
      <c r="F60" s="16">
        <v>3060.14</v>
      </c>
      <c r="G60" s="16">
        <v>178.50381</v>
      </c>
      <c r="H60" s="16">
        <f>+71.55566</f>
        <v>71.55566</v>
      </c>
      <c r="I60" s="16">
        <v>0.1832</v>
      </c>
      <c r="J60" s="16">
        <v>0.563</v>
      </c>
      <c r="K60" s="16">
        <v>10.87</v>
      </c>
      <c r="L60" s="16">
        <v>0.51</v>
      </c>
      <c r="M60" s="16">
        <v>6.0</v>
      </c>
      <c r="N60" s="16"/>
      <c r="O60" s="22"/>
    </row>
    <row r="61">
      <c r="A61" s="26" t="s">
        <v>96</v>
      </c>
      <c r="B61" s="16" t="s">
        <v>120</v>
      </c>
      <c r="C61" s="16" t="s">
        <v>98</v>
      </c>
      <c r="D61" s="16"/>
      <c r="E61" s="16"/>
      <c r="F61" s="16">
        <v>4272.76</v>
      </c>
      <c r="G61" s="16">
        <v>177.63068</v>
      </c>
      <c r="H61" s="16">
        <f>+71.95965</f>
        <v>71.95965</v>
      </c>
      <c r="I61" s="16">
        <v>0.2841</v>
      </c>
      <c r="J61" s="16">
        <v>0.698</v>
      </c>
      <c r="K61" s="16">
        <v>27.48</v>
      </c>
      <c r="L61" s="16">
        <v>1.25</v>
      </c>
      <c r="M61" s="16">
        <v>16.0</v>
      </c>
      <c r="N61" s="16"/>
      <c r="O61" s="22"/>
    </row>
    <row r="62">
      <c r="A62" s="26" t="s">
        <v>96</v>
      </c>
      <c r="B62" s="16" t="s">
        <v>121</v>
      </c>
      <c r="C62" s="16" t="s">
        <v>98</v>
      </c>
      <c r="D62" s="16"/>
      <c r="E62" s="16"/>
      <c r="F62" s="16">
        <v>3989.83</v>
      </c>
      <c r="G62" s="16">
        <v>178.65378</v>
      </c>
      <c r="H62" s="16">
        <f>+71.65822</f>
        <v>71.65822</v>
      </c>
      <c r="I62" s="16">
        <v>0.2472</v>
      </c>
      <c r="J62" s="16">
        <v>0.56</v>
      </c>
      <c r="K62" s="16">
        <v>10.09</v>
      </c>
      <c r="L62" s="16">
        <v>0.47</v>
      </c>
      <c r="M62" s="16">
        <v>9.0</v>
      </c>
      <c r="N62" s="16"/>
      <c r="O62" s="22"/>
    </row>
    <row r="63">
      <c r="A63" s="26" t="s">
        <v>96</v>
      </c>
      <c r="B63" s="16" t="s">
        <v>122</v>
      </c>
      <c r="C63" s="16" t="s">
        <v>98</v>
      </c>
      <c r="D63" s="16"/>
      <c r="E63" s="16"/>
      <c r="F63" s="16">
        <v>3049.59</v>
      </c>
      <c r="G63" s="16">
        <v>177.36887</v>
      </c>
      <c r="H63" s="16">
        <f>+71.42403</f>
        <v>71.42403</v>
      </c>
      <c r="I63" s="16">
        <v>0.1574</v>
      </c>
      <c r="J63" s="16">
        <v>0.771</v>
      </c>
      <c r="K63" s="16">
        <v>33.42</v>
      </c>
      <c r="L63" s="16">
        <v>1.51</v>
      </c>
      <c r="M63" s="16">
        <v>27.0</v>
      </c>
      <c r="N63" s="16"/>
      <c r="O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</row>
    <row r="65">
      <c r="A65" s="9" t="s">
        <v>43</v>
      </c>
      <c r="B65" s="5" t="s">
        <v>74</v>
      </c>
      <c r="C65" s="3" t="s">
        <v>75</v>
      </c>
      <c r="D65" s="5"/>
      <c r="E65" s="5"/>
      <c r="F65" s="5" t="s">
        <v>76</v>
      </c>
      <c r="G65" s="5" t="s">
        <v>5</v>
      </c>
      <c r="H65" s="5" t="s">
        <v>6</v>
      </c>
      <c r="I65" s="5" t="s">
        <v>77</v>
      </c>
      <c r="J65" s="3" t="s">
        <v>78</v>
      </c>
      <c r="K65" s="5" t="s">
        <v>79</v>
      </c>
      <c r="L65" s="5" t="s">
        <v>80</v>
      </c>
      <c r="M65" s="5" t="s">
        <v>81</v>
      </c>
      <c r="N65" s="22"/>
      <c r="O65" s="22"/>
    </row>
    <row r="66">
      <c r="A66" s="24" t="s">
        <v>82</v>
      </c>
      <c r="B66" s="16" t="s">
        <v>123</v>
      </c>
      <c r="C66" s="16" t="s">
        <v>84</v>
      </c>
      <c r="D66" s="16"/>
      <c r="E66" s="16"/>
      <c r="F66" s="16">
        <v>60.1101599567985</v>
      </c>
      <c r="G66" s="16">
        <v>88.1729787</v>
      </c>
      <c r="H66" s="16">
        <v>74.19784041</v>
      </c>
      <c r="I66" s="16">
        <v>0.201868009999999</v>
      </c>
      <c r="J66" s="16" t="s">
        <v>85</v>
      </c>
      <c r="K66" s="16">
        <v>0.93442523</v>
      </c>
      <c r="L66" s="16">
        <v>0.045681626</v>
      </c>
      <c r="M66" s="16">
        <v>0.019893192</v>
      </c>
      <c r="N66" s="22"/>
      <c r="O66" s="22"/>
    </row>
    <row r="67">
      <c r="A67" s="24" t="s">
        <v>82</v>
      </c>
      <c r="B67" s="16" t="s">
        <v>124</v>
      </c>
      <c r="C67" s="16" t="s">
        <v>84</v>
      </c>
      <c r="D67" s="16"/>
      <c r="E67" s="16"/>
      <c r="F67" s="16">
        <v>233.891173805814</v>
      </c>
      <c r="G67" s="16">
        <v>88.22143337</v>
      </c>
      <c r="H67" s="16">
        <v>74.20135627</v>
      </c>
      <c r="I67" s="16">
        <v>0.64352965</v>
      </c>
      <c r="J67" s="16" t="s">
        <v>85</v>
      </c>
      <c r="K67" s="16">
        <v>0.99958915</v>
      </c>
      <c r="L67" s="16">
        <v>1.7510756E-4</v>
      </c>
      <c r="M67" s="16">
        <v>2.3575165E-4</v>
      </c>
      <c r="N67" s="22"/>
      <c r="O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</row>
    <row r="69">
      <c r="A69" s="35" t="s">
        <v>48</v>
      </c>
      <c r="B69" s="28" t="s">
        <v>103</v>
      </c>
      <c r="C69" s="28" t="s">
        <v>103</v>
      </c>
      <c r="D69" s="28"/>
      <c r="E69" s="28"/>
      <c r="F69" s="28" t="s">
        <v>103</v>
      </c>
      <c r="G69" s="28" t="s">
        <v>103</v>
      </c>
      <c r="H69" s="28" t="s">
        <v>103</v>
      </c>
      <c r="I69" s="28" t="s">
        <v>103</v>
      </c>
      <c r="J69" s="28" t="s">
        <v>103</v>
      </c>
      <c r="K69" s="28" t="s">
        <v>103</v>
      </c>
      <c r="L69" s="28" t="s">
        <v>103</v>
      </c>
      <c r="M69" s="22"/>
      <c r="N69" s="22"/>
      <c r="O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</row>
    <row r="71">
      <c r="A71" s="9" t="s">
        <v>53</v>
      </c>
      <c r="B71" s="5" t="s">
        <v>74</v>
      </c>
      <c r="C71" s="3" t="s">
        <v>75</v>
      </c>
      <c r="D71" s="5"/>
      <c r="E71" s="5"/>
      <c r="F71" s="5" t="s">
        <v>76</v>
      </c>
      <c r="G71" s="5" t="s">
        <v>5</v>
      </c>
      <c r="H71" s="5" t="s">
        <v>6</v>
      </c>
      <c r="I71" s="5" t="s">
        <v>77</v>
      </c>
      <c r="J71" s="3" t="s">
        <v>78</v>
      </c>
      <c r="K71" s="5" t="s">
        <v>79</v>
      </c>
      <c r="L71" s="5" t="s">
        <v>80</v>
      </c>
      <c r="M71" s="5" t="s">
        <v>81</v>
      </c>
      <c r="N71" s="22"/>
      <c r="O71" s="22"/>
    </row>
    <row r="72">
      <c r="A72" s="24" t="s">
        <v>82</v>
      </c>
      <c r="B72" s="16" t="s">
        <v>125</v>
      </c>
      <c r="C72" s="16" t="s">
        <v>84</v>
      </c>
      <c r="D72" s="16"/>
      <c r="E72" s="16"/>
      <c r="F72" s="16">
        <v>209.163587360526</v>
      </c>
      <c r="G72" s="16">
        <v>305.08537361</v>
      </c>
      <c r="H72" s="16">
        <v>70.78860842</v>
      </c>
      <c r="I72" s="16">
        <v>0.210271249999999</v>
      </c>
      <c r="J72" s="16" t="s">
        <v>85</v>
      </c>
      <c r="K72" s="16">
        <v>0.83771545</v>
      </c>
      <c r="L72" s="16">
        <v>0.004704359</v>
      </c>
      <c r="M72" s="16">
        <v>0.157580169999999</v>
      </c>
      <c r="N72" s="22"/>
      <c r="O72" s="22"/>
    </row>
    <row r="73">
      <c r="A73" s="24" t="s">
        <v>82</v>
      </c>
      <c r="B73" s="16" t="s">
        <v>126</v>
      </c>
      <c r="C73" s="16" t="s">
        <v>84</v>
      </c>
      <c r="D73" s="16"/>
      <c r="E73" s="16"/>
      <c r="F73" s="16">
        <v>136.14471411063</v>
      </c>
      <c r="G73" s="16">
        <v>305.03617628</v>
      </c>
      <c r="H73" s="16">
        <v>70.80240538</v>
      </c>
      <c r="I73" s="16">
        <v>0.240351719999999</v>
      </c>
      <c r="J73" s="16" t="s">
        <v>85</v>
      </c>
      <c r="K73" s="16">
        <v>0.98747444</v>
      </c>
      <c r="L73" s="16">
        <v>3.4273998E-4</v>
      </c>
      <c r="M73" s="16">
        <v>0.012182749</v>
      </c>
      <c r="N73" s="22"/>
      <c r="O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</row>
    <row r="75">
      <c r="A75" s="27" t="s">
        <v>58</v>
      </c>
      <c r="B75" s="28" t="s">
        <v>103</v>
      </c>
      <c r="C75" s="28" t="s">
        <v>103</v>
      </c>
      <c r="D75" s="28"/>
      <c r="E75" s="28"/>
      <c r="F75" s="28" t="s">
        <v>103</v>
      </c>
      <c r="G75" s="28" t="s">
        <v>103</v>
      </c>
      <c r="H75" s="28" t="s">
        <v>103</v>
      </c>
      <c r="I75" s="28" t="s">
        <v>103</v>
      </c>
      <c r="J75" s="28" t="s">
        <v>103</v>
      </c>
      <c r="K75" s="28" t="s">
        <v>103</v>
      </c>
      <c r="L75" s="28" t="s">
        <v>103</v>
      </c>
      <c r="M75" s="22"/>
      <c r="N75" s="22"/>
      <c r="O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</row>
    <row r="77">
      <c r="A77" s="9" t="s">
        <v>63</v>
      </c>
      <c r="B77" s="5" t="s">
        <v>74</v>
      </c>
      <c r="C77" s="3" t="s">
        <v>75</v>
      </c>
      <c r="D77" s="5"/>
      <c r="E77" s="5"/>
      <c r="F77" s="5" t="s">
        <v>76</v>
      </c>
      <c r="G77" s="5" t="s">
        <v>5</v>
      </c>
      <c r="H77" s="5" t="s">
        <v>6</v>
      </c>
      <c r="I77" s="5" t="s">
        <v>77</v>
      </c>
      <c r="J77" s="3" t="s">
        <v>78</v>
      </c>
      <c r="K77" s="5" t="s">
        <v>79</v>
      </c>
      <c r="L77" s="5" t="s">
        <v>80</v>
      </c>
      <c r="M77" s="5" t="s">
        <v>81</v>
      </c>
      <c r="N77" s="22"/>
      <c r="O77" s="22"/>
    </row>
    <row r="78">
      <c r="A78" s="24" t="s">
        <v>82</v>
      </c>
      <c r="B78" s="16" t="s">
        <v>127</v>
      </c>
      <c r="C78" s="16" t="s">
        <v>84</v>
      </c>
      <c r="D78" s="16"/>
      <c r="E78" s="16"/>
      <c r="F78" s="16">
        <v>111.059860172262</v>
      </c>
      <c r="G78" s="16">
        <v>312.67935088</v>
      </c>
      <c r="H78" s="16">
        <v>73.8968657599999</v>
      </c>
      <c r="I78" s="16">
        <v>0.09462511</v>
      </c>
      <c r="J78" s="16" t="s">
        <v>85</v>
      </c>
      <c r="K78" s="16">
        <v>0.93143016</v>
      </c>
      <c r="L78" s="16">
        <v>0.014137173</v>
      </c>
      <c r="M78" s="16">
        <v>0.054432653</v>
      </c>
      <c r="N78" s="22"/>
      <c r="O78" s="22"/>
    </row>
    <row r="79">
      <c r="A79" s="24" t="s">
        <v>82</v>
      </c>
      <c r="B79" s="16" t="s">
        <v>128</v>
      </c>
      <c r="C79" s="16" t="s">
        <v>84</v>
      </c>
      <c r="D79" s="16"/>
      <c r="E79" s="16"/>
      <c r="F79" s="16">
        <v>103.464687995645</v>
      </c>
      <c r="G79" s="16">
        <v>312.61730964</v>
      </c>
      <c r="H79" s="16">
        <v>73.9340529699999</v>
      </c>
      <c r="I79" s="16">
        <v>0.041308902</v>
      </c>
      <c r="J79" s="16" t="s">
        <v>85</v>
      </c>
      <c r="K79" s="16">
        <v>0.9897199</v>
      </c>
      <c r="L79" s="34">
        <v>7.63344E-5</v>
      </c>
      <c r="M79" s="16">
        <v>0.01020368</v>
      </c>
      <c r="N79" s="22"/>
      <c r="O79" s="22"/>
    </row>
    <row r="80">
      <c r="A80" s="24" t="s">
        <v>82</v>
      </c>
      <c r="B80" s="16" t="s">
        <v>129</v>
      </c>
      <c r="C80" s="16" t="s">
        <v>84</v>
      </c>
      <c r="D80" s="16"/>
      <c r="E80" s="16"/>
      <c r="F80" s="16">
        <v>228.096873450915</v>
      </c>
      <c r="G80" s="16">
        <v>312.80397774</v>
      </c>
      <c r="H80" s="16">
        <v>73.94584168</v>
      </c>
      <c r="I80" s="16">
        <v>0.045353893</v>
      </c>
      <c r="J80" s="16" t="s">
        <v>85</v>
      </c>
      <c r="K80" s="16">
        <v>0.98085344</v>
      </c>
      <c r="L80" s="16">
        <v>0.00846596999999999</v>
      </c>
      <c r="M80" s="16">
        <v>0.010680515</v>
      </c>
      <c r="N80" s="22"/>
      <c r="O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</row>
    <row r="82">
      <c r="A82" s="9" t="s">
        <v>68</v>
      </c>
      <c r="B82" s="5" t="s">
        <v>74</v>
      </c>
      <c r="C82" s="3" t="s">
        <v>75</v>
      </c>
      <c r="D82" s="5"/>
      <c r="E82" s="5"/>
      <c r="F82" s="5" t="s">
        <v>76</v>
      </c>
      <c r="G82" s="5" t="s">
        <v>5</v>
      </c>
      <c r="H82" s="5" t="s">
        <v>6</v>
      </c>
      <c r="I82" s="5" t="s">
        <v>77</v>
      </c>
      <c r="J82" s="3" t="s">
        <v>78</v>
      </c>
      <c r="K82" s="5" t="s">
        <v>79</v>
      </c>
      <c r="L82" s="5" t="s">
        <v>80</v>
      </c>
      <c r="M82" s="5" t="s">
        <v>81</v>
      </c>
      <c r="N82" s="22"/>
      <c r="O82" s="22"/>
    </row>
    <row r="83">
      <c r="A83" s="24" t="s">
        <v>82</v>
      </c>
      <c r="B83" s="16" t="s">
        <v>130</v>
      </c>
      <c r="C83" s="16" t="s">
        <v>84</v>
      </c>
      <c r="D83" s="16"/>
      <c r="E83" s="16"/>
      <c r="F83" s="16">
        <v>206.443116620385</v>
      </c>
      <c r="G83" s="16">
        <v>169.97274418</v>
      </c>
      <c r="H83" s="16">
        <v>70.68666126</v>
      </c>
      <c r="I83" s="16">
        <v>0.36087847</v>
      </c>
      <c r="J83" s="16" t="s">
        <v>85</v>
      </c>
      <c r="K83" s="16">
        <v>0.9912005</v>
      </c>
      <c r="L83" s="16">
        <v>0.004339937</v>
      </c>
      <c r="M83" s="16">
        <v>0.004459632</v>
      </c>
      <c r="N83" s="22"/>
      <c r="O83" s="22"/>
    </row>
    <row r="84">
      <c r="A84" s="24" t="s">
        <v>82</v>
      </c>
      <c r="B84" s="16" t="s">
        <v>131</v>
      </c>
      <c r="C84" s="16" t="s">
        <v>84</v>
      </c>
      <c r="D84" s="16"/>
      <c r="E84" s="16"/>
      <c r="F84" s="16">
        <v>170.62918169186</v>
      </c>
      <c r="G84" s="16">
        <v>170.00255798</v>
      </c>
      <c r="H84" s="16">
        <v>70.68897047</v>
      </c>
      <c r="I84" s="16">
        <v>0.194477889999999</v>
      </c>
      <c r="J84" s="16" t="s">
        <v>85</v>
      </c>
      <c r="K84" s="16">
        <v>0.9997733</v>
      </c>
      <c r="L84" s="34">
        <v>2.784102E-5</v>
      </c>
      <c r="M84" s="16">
        <v>1.9878693E-4</v>
      </c>
      <c r="N84" s="22"/>
      <c r="O84" s="22"/>
    </row>
    <row r="85">
      <c r="A85" s="24" t="s">
        <v>82</v>
      </c>
      <c r="B85" s="16" t="s">
        <v>132</v>
      </c>
      <c r="C85" s="16" t="s">
        <v>84</v>
      </c>
      <c r="D85" s="16"/>
      <c r="E85" s="16"/>
      <c r="F85" s="16">
        <v>220.689002392465</v>
      </c>
      <c r="G85" s="16">
        <v>169.97983016</v>
      </c>
      <c r="H85" s="16">
        <v>70.69339484</v>
      </c>
      <c r="I85" s="16">
        <v>0.2116047</v>
      </c>
      <c r="J85" s="16" t="s">
        <v>85</v>
      </c>
      <c r="K85" s="16">
        <v>0.9619372</v>
      </c>
      <c r="L85" s="16">
        <v>0.03693044</v>
      </c>
      <c r="M85" s="16">
        <v>0.0011323288</v>
      </c>
      <c r="N85" s="22"/>
      <c r="O85" s="22"/>
    </row>
    <row r="86">
      <c r="A86" s="24" t="s">
        <v>82</v>
      </c>
      <c r="B86" s="16">
        <v>660.0</v>
      </c>
      <c r="C86" s="16" t="s">
        <v>87</v>
      </c>
      <c r="D86" s="16"/>
      <c r="E86" s="16"/>
      <c r="F86" s="16">
        <v>12.1964357201243</v>
      </c>
      <c r="G86" s="16">
        <v>169.985319537558</v>
      </c>
      <c r="H86" s="16">
        <v>70.6762967306712</v>
      </c>
      <c r="I86" s="16">
        <v>0.4209753</v>
      </c>
      <c r="J86" s="25" t="s">
        <v>88</v>
      </c>
      <c r="K86" s="22"/>
      <c r="L86" s="22"/>
      <c r="M86" s="22"/>
      <c r="N86" s="22"/>
      <c r="O86" s="22"/>
    </row>
    <row r="87">
      <c r="A87" s="24" t="s">
        <v>82</v>
      </c>
      <c r="B87" s="16">
        <v>795.0</v>
      </c>
      <c r="C87" s="16" t="s">
        <v>87</v>
      </c>
      <c r="D87" s="16"/>
      <c r="E87" s="16"/>
      <c r="F87" s="16">
        <v>225.401528552577</v>
      </c>
      <c r="G87" s="16">
        <v>169.972769972713</v>
      </c>
      <c r="H87" s="16">
        <v>70.6866546691304</v>
      </c>
      <c r="I87" s="16">
        <v>0.416788</v>
      </c>
      <c r="J87" s="25" t="s">
        <v>88</v>
      </c>
      <c r="K87" s="22"/>
      <c r="L87" s="22"/>
      <c r="M87" s="22"/>
      <c r="N87" s="22"/>
      <c r="O87" s="22"/>
    </row>
    <row r="88">
      <c r="A88" s="24" t="s">
        <v>82</v>
      </c>
      <c r="B88" s="16">
        <v>796.0</v>
      </c>
      <c r="C88" s="16" t="s">
        <v>87</v>
      </c>
      <c r="D88" s="16"/>
      <c r="E88" s="16"/>
      <c r="F88" s="16">
        <v>212.195713359533</v>
      </c>
      <c r="G88" s="16">
        <v>169.976150973681</v>
      </c>
      <c r="H88" s="16">
        <v>70.6861148954405</v>
      </c>
      <c r="I88" s="16">
        <v>0.42996007</v>
      </c>
      <c r="J88" s="25" t="s">
        <v>88</v>
      </c>
      <c r="K88" s="22"/>
      <c r="L88" s="22"/>
      <c r="M88" s="22"/>
      <c r="N88" s="22"/>
      <c r="O88" s="22"/>
    </row>
    <row r="89">
      <c r="A89" s="24" t="s">
        <v>82</v>
      </c>
      <c r="B89" s="16">
        <v>827.0</v>
      </c>
      <c r="C89" s="16" t="s">
        <v>87</v>
      </c>
      <c r="D89" s="16"/>
      <c r="E89" s="16"/>
      <c r="F89" s="16">
        <v>237.242551732144</v>
      </c>
      <c r="G89" s="16">
        <v>169.979829974794</v>
      </c>
      <c r="H89" s="16">
        <v>70.6933983205035</v>
      </c>
      <c r="I89" s="16">
        <v>0.23264669</v>
      </c>
      <c r="J89" s="25" t="s">
        <v>106</v>
      </c>
      <c r="K89" s="22"/>
      <c r="L89" s="22"/>
      <c r="M89" s="22"/>
      <c r="N89" s="22"/>
      <c r="O89" s="22"/>
    </row>
    <row r="90">
      <c r="A90" s="24" t="s">
        <v>82</v>
      </c>
      <c r="B90" s="16">
        <v>824.0</v>
      </c>
      <c r="C90" s="16" t="s">
        <v>87</v>
      </c>
      <c r="D90" s="16"/>
      <c r="E90" s="16"/>
      <c r="F90" s="16">
        <v>178.252341378374</v>
      </c>
      <c r="G90" s="16">
        <v>170.00255556779</v>
      </c>
      <c r="H90" s="16">
        <v>70.6889687861356</v>
      </c>
      <c r="I90" s="16">
        <v>0.20569403</v>
      </c>
      <c r="J90" s="25" t="s">
        <v>106</v>
      </c>
      <c r="K90" s="22"/>
      <c r="L90" s="22"/>
      <c r="M90" s="22"/>
      <c r="N90" s="22"/>
      <c r="O90" s="22"/>
    </row>
    <row r="91">
      <c r="A91" s="24" t="s">
        <v>82</v>
      </c>
      <c r="B91" s="16">
        <v>825.0</v>
      </c>
      <c r="C91" s="16" t="s">
        <v>87</v>
      </c>
      <c r="D91" s="16"/>
      <c r="E91" s="16"/>
      <c r="F91" s="16">
        <v>281.449362143341</v>
      </c>
      <c r="G91" s="16">
        <v>170.000082267242</v>
      </c>
      <c r="H91" s="16">
        <v>70.6903388668057</v>
      </c>
      <c r="I91" s="16">
        <v>0.35723287</v>
      </c>
      <c r="J91" s="25" t="s">
        <v>89</v>
      </c>
      <c r="K91" s="22"/>
      <c r="L91" s="22"/>
      <c r="M91" s="22"/>
      <c r="N91" s="22"/>
      <c r="O91" s="22"/>
    </row>
    <row r="92">
      <c r="A92" s="9" t="s">
        <v>68</v>
      </c>
      <c r="B92" s="5" t="s">
        <v>91</v>
      </c>
      <c r="C92" s="3" t="s">
        <v>75</v>
      </c>
      <c r="D92" s="5"/>
      <c r="E92" s="5"/>
      <c r="F92" s="5" t="s">
        <v>76</v>
      </c>
      <c r="G92" s="5" t="s">
        <v>5</v>
      </c>
      <c r="H92" s="5" t="s">
        <v>6</v>
      </c>
      <c r="I92" s="5" t="s">
        <v>77</v>
      </c>
      <c r="J92" s="3" t="s">
        <v>92</v>
      </c>
      <c r="K92" s="5" t="s">
        <v>93</v>
      </c>
      <c r="L92" s="3" t="s">
        <v>94</v>
      </c>
      <c r="M92" s="3" t="s">
        <v>95</v>
      </c>
      <c r="N92" s="22"/>
      <c r="O92" s="22"/>
    </row>
    <row r="93">
      <c r="A93" s="26" t="s">
        <v>96</v>
      </c>
      <c r="B93" s="16" t="s">
        <v>133</v>
      </c>
      <c r="C93" s="16" t="s">
        <v>98</v>
      </c>
      <c r="D93" s="16"/>
      <c r="E93" s="16"/>
      <c r="F93" s="16">
        <v>3133.0</v>
      </c>
      <c r="G93" s="16">
        <v>169.87289</v>
      </c>
      <c r="H93" s="16">
        <f>+70.91131</f>
        <v>70.91131</v>
      </c>
      <c r="I93" s="16">
        <v>0.2192</v>
      </c>
      <c r="J93" s="16">
        <v>0.766</v>
      </c>
      <c r="K93" s="16">
        <v>39.61</v>
      </c>
      <c r="L93" s="16">
        <v>1.78</v>
      </c>
      <c r="M93" s="16">
        <v>22.0</v>
      </c>
      <c r="N93" s="22"/>
      <c r="O93" s="22"/>
    </row>
    <row r="94">
      <c r="A94" s="26" t="s">
        <v>96</v>
      </c>
      <c r="B94" s="16" t="s">
        <v>134</v>
      </c>
      <c r="C94" s="16" t="s">
        <v>98</v>
      </c>
      <c r="D94" s="16"/>
      <c r="E94" s="16"/>
      <c r="F94" s="16">
        <v>4284.68</v>
      </c>
      <c r="G94" s="16">
        <v>170.6479</v>
      </c>
      <c r="H94" s="16">
        <f>+70.91058</f>
        <v>70.91058</v>
      </c>
      <c r="I94" s="16">
        <v>0.2236</v>
      </c>
      <c r="J94" s="16">
        <v>0.543</v>
      </c>
      <c r="K94" s="16">
        <v>19.39</v>
      </c>
      <c r="L94" s="16">
        <v>0.89</v>
      </c>
      <c r="M94" s="16">
        <v>13.0</v>
      </c>
      <c r="N94" s="22"/>
      <c r="O94" s="22"/>
    </row>
    <row r="95">
      <c r="A95" s="26" t="s">
        <v>96</v>
      </c>
      <c r="B95" s="16" t="s">
        <v>135</v>
      </c>
      <c r="C95" s="16" t="s">
        <v>98</v>
      </c>
      <c r="D95" s="16"/>
      <c r="E95" s="16"/>
      <c r="F95" s="16">
        <v>4267.39</v>
      </c>
      <c r="G95" s="16">
        <v>170.96191</v>
      </c>
      <c r="H95" s="16">
        <f>+70.69499</f>
        <v>70.69499</v>
      </c>
      <c r="I95" s="16">
        <v>0.2191</v>
      </c>
      <c r="J95" s="16">
        <v>0.848</v>
      </c>
      <c r="K95" s="16">
        <v>46.86</v>
      </c>
      <c r="L95" s="16">
        <v>2.09</v>
      </c>
      <c r="M95" s="16">
        <v>31.0</v>
      </c>
      <c r="N95" s="22"/>
      <c r="O95" s="22"/>
    </row>
    <row r="96">
      <c r="A96" s="26" t="s">
        <v>96</v>
      </c>
      <c r="B96" s="16" t="s">
        <v>136</v>
      </c>
      <c r="C96" s="16" t="s">
        <v>98</v>
      </c>
      <c r="D96" s="16"/>
      <c r="E96" s="16"/>
      <c r="F96" s="16">
        <v>3804.0</v>
      </c>
      <c r="G96" s="16">
        <v>169.87859</v>
      </c>
      <c r="H96" s="16">
        <f>+70.34475</f>
        <v>70.34475</v>
      </c>
      <c r="I96" s="16">
        <v>0.1825</v>
      </c>
      <c r="J96" s="16">
        <v>0.602</v>
      </c>
      <c r="K96" s="16">
        <v>13.46</v>
      </c>
      <c r="L96" s="16">
        <v>0.62</v>
      </c>
      <c r="M96" s="16">
        <v>7.0</v>
      </c>
      <c r="N96" s="22"/>
      <c r="O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</row>
  </sheetData>
  <mergeCells count="1">
    <mergeCell ref="A15:E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6.63"/>
    <col customWidth="1" min="3" max="3" width="27.5"/>
    <col customWidth="1" min="4" max="4" width="15.0"/>
    <col customWidth="1" min="5" max="5" width="15.75"/>
    <col customWidth="1" min="6" max="6" width="21.75"/>
  </cols>
  <sheetData>
    <row r="1" ht="22.5" customHeight="1">
      <c r="A1" s="36" t="s">
        <v>1</v>
      </c>
      <c r="B1" s="37" t="s">
        <v>2</v>
      </c>
      <c r="C1" s="38" t="s">
        <v>3</v>
      </c>
      <c r="D1" s="39" t="s">
        <v>5</v>
      </c>
      <c r="E1" s="39" t="s">
        <v>6</v>
      </c>
      <c r="F1" s="39" t="s">
        <v>4</v>
      </c>
    </row>
    <row r="2" ht="22.5" customHeight="1">
      <c r="A2" s="40" t="s">
        <v>13</v>
      </c>
      <c r="B2" s="41">
        <v>59617.8085036401</v>
      </c>
      <c r="C2" s="42" t="s">
        <v>15</v>
      </c>
      <c r="D2" s="43">
        <v>310.199525</v>
      </c>
      <c r="E2" s="43">
        <v>72.8823272222222</v>
      </c>
      <c r="F2" s="43">
        <v>0.043</v>
      </c>
    </row>
    <row r="3" ht="22.5" customHeight="1">
      <c r="A3" s="40" t="s">
        <v>18</v>
      </c>
      <c r="B3" s="41">
        <v>59648.2417207443</v>
      </c>
      <c r="C3" s="42" t="s">
        <v>20</v>
      </c>
      <c r="D3" s="43">
        <v>134.7205</v>
      </c>
      <c r="E3" s="43">
        <v>73.4908333333333</v>
      </c>
      <c r="F3" s="43">
        <v>0.479</v>
      </c>
    </row>
    <row r="4" ht="22.5" customHeight="1">
      <c r="A4" s="40" t="s">
        <v>24</v>
      </c>
      <c r="B4" s="41">
        <v>59705.5970129235</v>
      </c>
      <c r="C4" s="42" t="s">
        <v>26</v>
      </c>
      <c r="D4" s="43">
        <v>318.044833333333</v>
      </c>
      <c r="E4" s="43">
        <v>72.8272777777777</v>
      </c>
      <c r="F4" s="43">
        <v>0.3005</v>
      </c>
    </row>
    <row r="5" ht="22.5" customHeight="1">
      <c r="A5" s="40" t="s">
        <v>29</v>
      </c>
      <c r="B5" s="41">
        <v>59896.3865109765</v>
      </c>
      <c r="C5" s="44" t="s">
        <v>31</v>
      </c>
      <c r="D5" s="43">
        <v>71.4109999999999</v>
      </c>
      <c r="E5" s="43">
        <v>70.3073888888888</v>
      </c>
      <c r="F5" s="43">
        <v>0.2505</v>
      </c>
    </row>
    <row r="6" ht="22.5" customHeight="1">
      <c r="A6" s="40" t="s">
        <v>34</v>
      </c>
      <c r="B6" s="41">
        <v>59916.0017508958</v>
      </c>
      <c r="C6" s="44" t="s">
        <v>36</v>
      </c>
      <c r="D6" s="41">
        <v>315.129541666666</v>
      </c>
      <c r="E6" s="41">
        <v>72.0375611111111</v>
      </c>
      <c r="F6" s="41">
        <v>0.51</v>
      </c>
    </row>
    <row r="7" ht="22.5" customHeight="1">
      <c r="A7" s="40" t="s">
        <v>39</v>
      </c>
      <c r="B7" s="41">
        <v>60010.3788577185</v>
      </c>
      <c r="C7" s="42" t="s">
        <v>41</v>
      </c>
      <c r="D7" s="41">
        <v>177.781333333333</v>
      </c>
      <c r="E7" s="41">
        <v>71.6956388888889</v>
      </c>
      <c r="F7" s="41">
        <v>0.271</v>
      </c>
    </row>
    <row r="8" ht="22.5" customHeight="1">
      <c r="A8" s="40" t="s">
        <v>44</v>
      </c>
      <c r="B8" s="41">
        <v>60028.0716905725</v>
      </c>
      <c r="C8" s="42" t="s">
        <v>46</v>
      </c>
      <c r="D8" s="41">
        <v>88.188</v>
      </c>
      <c r="E8" s="41">
        <v>74.2004722222222</v>
      </c>
      <c r="F8" s="45" t="s">
        <v>137</v>
      </c>
    </row>
    <row r="9" ht="22.5" customHeight="1">
      <c r="A9" s="40" t="s">
        <v>49</v>
      </c>
      <c r="B9" s="41">
        <v>60369.370952243</v>
      </c>
      <c r="C9" s="42" t="s">
        <v>51</v>
      </c>
      <c r="D9" s="41">
        <v>335.97475</v>
      </c>
      <c r="E9" s="41">
        <v>73.02590556</v>
      </c>
      <c r="F9" s="45" t="s">
        <v>137</v>
      </c>
    </row>
    <row r="10" ht="22.5" customHeight="1">
      <c r="A10" s="40" t="s">
        <v>54</v>
      </c>
      <c r="B10" s="41">
        <v>60170.3609267555</v>
      </c>
      <c r="C10" s="42" t="s">
        <v>56</v>
      </c>
      <c r="D10" s="41">
        <v>305.037166666666</v>
      </c>
      <c r="E10" s="41">
        <v>70.7927666666666</v>
      </c>
      <c r="F10" s="41">
        <v>0.3024</v>
      </c>
    </row>
    <row r="11" ht="22.5" customHeight="1">
      <c r="A11" s="40" t="s">
        <v>59</v>
      </c>
      <c r="B11" s="41">
        <v>60200.207158083</v>
      </c>
      <c r="C11" s="42" t="s">
        <v>61</v>
      </c>
      <c r="D11" s="41">
        <v>39.7664999999999</v>
      </c>
      <c r="E11" s="41">
        <v>71.0178611111111</v>
      </c>
      <c r="F11" s="45" t="s">
        <v>137</v>
      </c>
    </row>
    <row r="12" ht="22.5" customHeight="1">
      <c r="A12" s="40" t="s">
        <v>64</v>
      </c>
      <c r="B12" s="41">
        <v>60331.1042800127</v>
      </c>
      <c r="C12" s="42" t="s">
        <v>66</v>
      </c>
      <c r="D12" s="41">
        <v>312.619124999999</v>
      </c>
      <c r="E12" s="41">
        <v>73.9</v>
      </c>
      <c r="F12" s="41">
        <v>0.074</v>
      </c>
    </row>
    <row r="13" ht="22.5" customHeight="1">
      <c r="A13" s="40" t="s">
        <v>69</v>
      </c>
      <c r="B13" s="41">
        <v>60343.8318219485</v>
      </c>
      <c r="C13" s="42" t="s">
        <v>71</v>
      </c>
      <c r="D13" s="41">
        <v>169.98354167</v>
      </c>
      <c r="E13" s="41">
        <v>70.67622222</v>
      </c>
      <c r="F13" s="41">
        <v>0.287</v>
      </c>
    </row>
  </sheetData>
  <dataValidations>
    <dataValidation type="custom" allowBlank="1" showDropDown="1" sqref="B2:B13 D2:F1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2.75"/>
    <col customWidth="1" min="3" max="3" width="24.0"/>
    <col customWidth="1" min="4" max="4" width="26.13"/>
    <col customWidth="1" min="5" max="5" width="13.63"/>
    <col customWidth="1" min="6" max="6" width="12.63"/>
    <col customWidth="1" min="7" max="7" width="14.0"/>
    <col customWidth="1" min="8" max="8" width="18.25"/>
    <col customWidth="1" min="9" max="9" width="21.38"/>
    <col customWidth="1" min="10" max="10" width="25.13"/>
    <col customWidth="1" min="11" max="11" width="50.13"/>
    <col customWidth="1" min="12" max="12" width="41.0"/>
    <col customWidth="1" min="13" max="13" width="27.13"/>
    <col customWidth="1" min="14" max="14" width="34.13"/>
    <col customWidth="1" min="15" max="15" width="41.13"/>
    <col customWidth="1" min="16" max="16" width="28.0"/>
    <col customWidth="1" min="24" max="24" width="32.38"/>
    <col customWidth="1" min="25" max="25" width="28.13"/>
    <col customWidth="1" min="26" max="26" width="36.13"/>
    <col customWidth="1" min="27" max="27" width="28.38"/>
    <col customWidth="1" min="32" max="32" width="28.13"/>
    <col customWidth="1" min="34" max="34" width="34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5" t="s">
        <v>5</v>
      </c>
      <c r="F1" s="5" t="s">
        <v>6</v>
      </c>
      <c r="G1" s="5" t="s">
        <v>4</v>
      </c>
      <c r="H1" s="6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46" t="s">
        <v>138</v>
      </c>
      <c r="N1" s="5" t="s">
        <v>74</v>
      </c>
      <c r="O1" s="3" t="s">
        <v>75</v>
      </c>
      <c r="P1" s="5" t="s">
        <v>76</v>
      </c>
      <c r="Q1" s="5" t="s">
        <v>5</v>
      </c>
      <c r="R1" s="5" t="s">
        <v>6</v>
      </c>
      <c r="S1" s="5" t="s">
        <v>77</v>
      </c>
      <c r="T1" s="3" t="s">
        <v>78</v>
      </c>
      <c r="U1" s="5" t="s">
        <v>79</v>
      </c>
      <c r="V1" s="5" t="s">
        <v>80</v>
      </c>
      <c r="W1" s="5" t="s">
        <v>81</v>
      </c>
      <c r="X1" s="46" t="s">
        <v>139</v>
      </c>
      <c r="Y1" s="5" t="s">
        <v>91</v>
      </c>
      <c r="Z1" s="3" t="s">
        <v>75</v>
      </c>
      <c r="AA1" s="5" t="s">
        <v>76</v>
      </c>
      <c r="AB1" s="5" t="s">
        <v>5</v>
      </c>
      <c r="AC1" s="5" t="s">
        <v>6</v>
      </c>
      <c r="AD1" s="5" t="s">
        <v>77</v>
      </c>
      <c r="AE1" s="3" t="s">
        <v>92</v>
      </c>
      <c r="AF1" s="5" t="s">
        <v>93</v>
      </c>
      <c r="AG1" s="3" t="s">
        <v>94</v>
      </c>
      <c r="AH1" s="5" t="s">
        <v>114</v>
      </c>
    </row>
    <row r="2">
      <c r="A2" s="9" t="s">
        <v>12</v>
      </c>
      <c r="B2" s="10" t="s">
        <v>13</v>
      </c>
      <c r="C2" s="11">
        <v>59617.8085036401</v>
      </c>
      <c r="D2" s="14" t="s">
        <v>15</v>
      </c>
      <c r="E2" s="13">
        <v>310.199525</v>
      </c>
      <c r="F2" s="13">
        <v>72.8823272222222</v>
      </c>
      <c r="G2" s="13">
        <v>0.043</v>
      </c>
      <c r="H2" s="15">
        <v>0.730525</v>
      </c>
      <c r="I2" s="16">
        <v>0.0445</v>
      </c>
      <c r="J2" s="16">
        <v>0.7781546259</v>
      </c>
      <c r="K2" s="17">
        <v>0.276</v>
      </c>
      <c r="L2" s="17" t="s">
        <v>16</v>
      </c>
      <c r="M2" s="47" t="s">
        <v>140</v>
      </c>
      <c r="N2" s="10" t="s">
        <v>83</v>
      </c>
      <c r="O2" s="16" t="s">
        <v>84</v>
      </c>
      <c r="P2" s="16">
        <v>75.8927078047416</v>
      </c>
      <c r="Q2" s="16">
        <v>310.09129027</v>
      </c>
      <c r="R2" s="16">
        <v>72.8104170299999</v>
      </c>
      <c r="S2" s="16">
        <v>0.012668989</v>
      </c>
      <c r="T2" s="16" t="s">
        <v>85</v>
      </c>
      <c r="U2" s="16">
        <v>0.7741557</v>
      </c>
      <c r="V2" s="16">
        <v>0.21411066</v>
      </c>
      <c r="W2" s="16">
        <v>0.011733597</v>
      </c>
      <c r="X2" s="48" t="s">
        <v>141</v>
      </c>
      <c r="Y2" s="16" t="s">
        <v>97</v>
      </c>
      <c r="Z2" s="16" t="s">
        <v>98</v>
      </c>
      <c r="AA2" s="16">
        <v>2039.36</v>
      </c>
      <c r="AB2" s="16">
        <v>133.94167</v>
      </c>
      <c r="AC2" s="16">
        <f>+73.37494</f>
        <v>73.37494</v>
      </c>
      <c r="AD2" s="16">
        <v>0.1216</v>
      </c>
      <c r="AE2" s="16">
        <v>0.519</v>
      </c>
      <c r="AF2" s="16">
        <v>13.72</v>
      </c>
      <c r="AG2" s="16">
        <v>0.64</v>
      </c>
      <c r="AH2" s="16">
        <v>7.0</v>
      </c>
    </row>
    <row r="3">
      <c r="A3" s="9" t="s">
        <v>17</v>
      </c>
      <c r="B3" s="10" t="s">
        <v>18</v>
      </c>
      <c r="C3" s="11">
        <v>59648.2417207443</v>
      </c>
      <c r="D3" s="14" t="s">
        <v>20</v>
      </c>
      <c r="E3" s="13">
        <v>134.7205</v>
      </c>
      <c r="F3" s="13">
        <v>73.4908333333333</v>
      </c>
      <c r="G3" s="13">
        <v>0.479</v>
      </c>
      <c r="H3" s="18" t="s">
        <v>21</v>
      </c>
      <c r="I3" s="16" t="s">
        <v>21</v>
      </c>
      <c r="J3" s="17">
        <v>2.625420632</v>
      </c>
      <c r="K3" s="17">
        <v>0.151</v>
      </c>
      <c r="L3" s="17" t="s">
        <v>22</v>
      </c>
      <c r="M3" s="47" t="s">
        <v>142</v>
      </c>
      <c r="N3" s="16">
        <v>1472.0</v>
      </c>
      <c r="O3" s="16" t="s">
        <v>87</v>
      </c>
      <c r="P3" s="16">
        <v>104.022589060453</v>
      </c>
      <c r="Q3" s="16">
        <v>134.735571561066</v>
      </c>
      <c r="R3" s="16">
        <v>73.4910348658328</v>
      </c>
      <c r="S3" s="16">
        <v>0.57313246</v>
      </c>
      <c r="T3" s="25" t="s">
        <v>88</v>
      </c>
      <c r="U3" s="22"/>
      <c r="V3" s="22"/>
      <c r="W3" s="22"/>
      <c r="X3" s="48" t="s">
        <v>143</v>
      </c>
      <c r="Y3" s="16" t="s">
        <v>99</v>
      </c>
      <c r="Z3" s="16" t="s">
        <v>98</v>
      </c>
      <c r="AA3" s="16">
        <v>5210.8</v>
      </c>
      <c r="AB3" s="16">
        <v>133.88272</v>
      </c>
      <c r="AC3" s="16">
        <f>+73.40887</f>
        <v>73.40887</v>
      </c>
      <c r="AD3" s="16">
        <v>0.4239</v>
      </c>
      <c r="AE3" s="16">
        <v>0.577</v>
      </c>
      <c r="AF3" s="16">
        <v>19.64</v>
      </c>
      <c r="AG3" s="16">
        <v>0.9</v>
      </c>
      <c r="AH3" s="16">
        <v>10.0</v>
      </c>
    </row>
    <row r="4">
      <c r="A4" s="10"/>
      <c r="B4" s="10"/>
      <c r="C4" s="11"/>
      <c r="D4" s="14"/>
      <c r="E4" s="13"/>
      <c r="F4" s="13"/>
      <c r="G4" s="13"/>
      <c r="H4" s="15"/>
      <c r="I4" s="16"/>
      <c r="J4" s="16"/>
      <c r="K4" s="17"/>
      <c r="L4" s="17"/>
      <c r="M4" s="47" t="s">
        <v>144</v>
      </c>
      <c r="N4" s="16">
        <v>1473.0</v>
      </c>
      <c r="O4" s="16" t="s">
        <v>87</v>
      </c>
      <c r="P4" s="16">
        <v>104.827285794908</v>
      </c>
      <c r="Q4" s="16">
        <v>134.739524091036</v>
      </c>
      <c r="R4" s="16">
        <v>73.4908098966507</v>
      </c>
      <c r="S4" s="16">
        <v>0.3819289</v>
      </c>
      <c r="T4" s="25" t="s">
        <v>88</v>
      </c>
      <c r="U4" s="22"/>
      <c r="V4" s="22"/>
      <c r="W4" s="22"/>
      <c r="X4" s="48" t="s">
        <v>145</v>
      </c>
      <c r="Y4" s="16" t="s">
        <v>100</v>
      </c>
      <c r="Z4" s="16" t="s">
        <v>98</v>
      </c>
      <c r="AA4" s="16">
        <v>5689.99</v>
      </c>
      <c r="AB4" s="16">
        <v>134.53415</v>
      </c>
      <c r="AC4" s="16">
        <f>+73.20953</f>
        <v>73.20953</v>
      </c>
      <c r="AD4" s="16">
        <v>0.3975</v>
      </c>
      <c r="AE4" s="16">
        <v>0.591</v>
      </c>
      <c r="AF4" s="16">
        <v>12.1</v>
      </c>
      <c r="AG4" s="16">
        <v>0.56</v>
      </c>
      <c r="AH4" s="16">
        <v>11.0</v>
      </c>
    </row>
    <row r="5">
      <c r="A5" s="10"/>
      <c r="B5" s="10"/>
      <c r="C5" s="11"/>
      <c r="D5" s="14"/>
      <c r="E5" s="13"/>
      <c r="F5" s="13"/>
      <c r="G5" s="13"/>
      <c r="H5" s="15"/>
      <c r="I5" s="16"/>
      <c r="J5" s="16"/>
      <c r="K5" s="17"/>
      <c r="L5" s="17"/>
      <c r="M5" s="47" t="s">
        <v>146</v>
      </c>
      <c r="N5" s="16">
        <v>1582.0</v>
      </c>
      <c r="O5" s="16" t="s">
        <v>87</v>
      </c>
      <c r="P5" s="16">
        <v>183.682034390874</v>
      </c>
      <c r="Q5" s="16">
        <v>134.728384140236</v>
      </c>
      <c r="R5" s="16">
        <v>73.4976520131594</v>
      </c>
      <c r="S5" s="16">
        <v>0.6445946</v>
      </c>
      <c r="T5" s="25" t="s">
        <v>89</v>
      </c>
      <c r="U5" s="22"/>
      <c r="V5" s="22"/>
      <c r="W5" s="22"/>
    </row>
    <row r="6">
      <c r="A6" s="10"/>
      <c r="B6" s="10"/>
      <c r="C6" s="11"/>
      <c r="D6" s="14"/>
      <c r="E6" s="13"/>
      <c r="F6" s="13"/>
      <c r="G6" s="13"/>
      <c r="H6" s="15"/>
      <c r="I6" s="16"/>
      <c r="J6" s="16"/>
      <c r="K6" s="17"/>
      <c r="L6" s="17"/>
      <c r="M6" s="47" t="s">
        <v>147</v>
      </c>
      <c r="N6" s="16" t="s">
        <v>90</v>
      </c>
      <c r="O6" s="16" t="s">
        <v>84</v>
      </c>
      <c r="P6" s="16">
        <v>103.328324810755</v>
      </c>
      <c r="Q6" s="16">
        <v>134.7356692</v>
      </c>
      <c r="R6" s="16">
        <v>73.491054</v>
      </c>
      <c r="S6" s="16">
        <v>0.557516099999999</v>
      </c>
      <c r="T6" s="16" t="s">
        <v>85</v>
      </c>
      <c r="U6" s="16">
        <v>0.99067277</v>
      </c>
      <c r="V6" s="16">
        <v>9.1412605E-4</v>
      </c>
      <c r="W6" s="16">
        <v>0.00841313699999999</v>
      </c>
    </row>
    <row r="7">
      <c r="A7" s="9" t="s">
        <v>23</v>
      </c>
      <c r="B7" s="10" t="s">
        <v>24</v>
      </c>
      <c r="C7" s="11">
        <v>59705.5970129235</v>
      </c>
      <c r="D7" s="14" t="s">
        <v>26</v>
      </c>
      <c r="E7" s="13">
        <v>318.044833333333</v>
      </c>
      <c r="F7" s="13">
        <v>72.8272777777777</v>
      </c>
      <c r="G7" s="13">
        <v>0.3005</v>
      </c>
      <c r="H7" s="15">
        <v>0.42225</v>
      </c>
      <c r="I7" s="16">
        <v>0.0895</v>
      </c>
      <c r="J7" s="16">
        <v>0.6131321933</v>
      </c>
      <c r="K7" s="17">
        <v>0.831</v>
      </c>
      <c r="L7" s="17" t="s">
        <v>27</v>
      </c>
      <c r="M7" s="47" t="s">
        <v>140</v>
      </c>
      <c r="N7" s="16" t="s">
        <v>102</v>
      </c>
      <c r="O7" s="16" t="s">
        <v>84</v>
      </c>
      <c r="P7" s="16">
        <v>73.8744241519932</v>
      </c>
      <c r="Q7" s="16">
        <v>318.06443746</v>
      </c>
      <c r="R7" s="16">
        <v>72.8290487799999</v>
      </c>
      <c r="S7" s="16">
        <v>0.198661474045396</v>
      </c>
      <c r="T7" s="16" t="s">
        <v>85</v>
      </c>
      <c r="U7" s="16">
        <v>0.87636614</v>
      </c>
    </row>
    <row r="8">
      <c r="A8" s="9" t="s">
        <v>28</v>
      </c>
      <c r="B8" s="10" t="s">
        <v>29</v>
      </c>
      <c r="C8" s="11">
        <v>59896.3865109765</v>
      </c>
      <c r="D8" s="17" t="s">
        <v>31</v>
      </c>
      <c r="E8" s="13">
        <v>71.4109999999999</v>
      </c>
      <c r="F8" s="13">
        <v>70.3073888888888</v>
      </c>
      <c r="G8" s="13">
        <v>0.2505</v>
      </c>
      <c r="H8" s="15">
        <v>0.5954</v>
      </c>
      <c r="I8" s="16">
        <v>0.3</v>
      </c>
      <c r="J8" s="17">
        <v>0.497767771</v>
      </c>
      <c r="K8" s="17">
        <v>0.284</v>
      </c>
      <c r="L8" s="17" t="s">
        <v>32</v>
      </c>
      <c r="M8" s="8"/>
    </row>
    <row r="9">
      <c r="A9" s="9" t="s">
        <v>33</v>
      </c>
      <c r="B9" s="10" t="s">
        <v>34</v>
      </c>
      <c r="C9" s="11">
        <v>59916.0017508958</v>
      </c>
      <c r="D9" s="17" t="s">
        <v>36</v>
      </c>
      <c r="E9" s="11">
        <v>315.129541666666</v>
      </c>
      <c r="F9" s="11">
        <v>72.0375611111111</v>
      </c>
      <c r="G9" s="11">
        <v>0.51</v>
      </c>
      <c r="H9" s="15">
        <v>0.12105</v>
      </c>
      <c r="I9" s="16">
        <v>0.027</v>
      </c>
      <c r="J9" s="16">
        <v>0.629754282</v>
      </c>
      <c r="K9" s="17">
        <v>0.307</v>
      </c>
      <c r="L9" s="17" t="s">
        <v>37</v>
      </c>
      <c r="M9" s="47" t="s">
        <v>140</v>
      </c>
      <c r="N9" s="16" t="s">
        <v>104</v>
      </c>
      <c r="O9" s="16" t="s">
        <v>84</v>
      </c>
      <c r="P9" s="16">
        <v>231.956938856697</v>
      </c>
      <c r="Q9" s="16">
        <v>315.13290591</v>
      </c>
      <c r="R9" s="16">
        <v>72.04657361</v>
      </c>
      <c r="S9" s="16">
        <v>0.64319044</v>
      </c>
      <c r="T9" s="16" t="s">
        <v>85</v>
      </c>
      <c r="U9" s="16">
        <v>0.90788466</v>
      </c>
      <c r="V9" s="16">
        <v>0.0726387</v>
      </c>
      <c r="W9" s="16">
        <v>0.019476606</v>
      </c>
    </row>
    <row r="10">
      <c r="A10" s="9" t="s">
        <v>38</v>
      </c>
      <c r="B10" s="10" t="s">
        <v>39</v>
      </c>
      <c r="C10" s="11">
        <v>60010.3788577185</v>
      </c>
      <c r="D10" s="14" t="s">
        <v>41</v>
      </c>
      <c r="E10" s="11">
        <v>177.781333333333</v>
      </c>
      <c r="F10" s="11">
        <v>71.6956388888889</v>
      </c>
      <c r="G10" s="11">
        <v>0.271</v>
      </c>
      <c r="H10" s="15">
        <v>4.253</v>
      </c>
      <c r="I10" s="16">
        <v>0.14</v>
      </c>
      <c r="J10" s="16">
        <v>4.117785215</v>
      </c>
      <c r="K10" s="17">
        <v>0.568</v>
      </c>
      <c r="L10" s="17" t="s">
        <v>42</v>
      </c>
      <c r="M10" s="47" t="s">
        <v>140</v>
      </c>
      <c r="N10" s="16">
        <v>832.0</v>
      </c>
      <c r="O10" s="16" t="s">
        <v>87</v>
      </c>
      <c r="P10" s="16">
        <v>158.807783224078</v>
      </c>
      <c r="Q10" s="16">
        <v>177.763567187231</v>
      </c>
      <c r="R10" s="16">
        <v>71.6848639757939</v>
      </c>
      <c r="S10" s="16">
        <v>0.21739762</v>
      </c>
      <c r="T10" s="16" t="s">
        <v>85</v>
      </c>
      <c r="U10" s="22"/>
      <c r="V10" s="22"/>
      <c r="W10" s="22"/>
      <c r="X10" s="48" t="s">
        <v>148</v>
      </c>
      <c r="Y10" s="16" t="s">
        <v>115</v>
      </c>
      <c r="Z10" s="16" t="s">
        <v>98</v>
      </c>
      <c r="AA10" s="16">
        <v>603.64</v>
      </c>
      <c r="AB10" s="16">
        <v>177.83488</v>
      </c>
      <c r="AC10" s="16">
        <f>+71.74319</f>
        <v>71.74319</v>
      </c>
      <c r="AD10" s="16">
        <v>0.1938</v>
      </c>
      <c r="AE10" s="16">
        <v>0.729</v>
      </c>
      <c r="AF10" s="16">
        <v>32.69</v>
      </c>
      <c r="AG10" s="16">
        <v>1.48</v>
      </c>
      <c r="AH10" s="16">
        <v>14.0</v>
      </c>
    </row>
    <row r="11">
      <c r="A11" s="10"/>
      <c r="B11" s="10"/>
      <c r="C11" s="11"/>
      <c r="D11" s="14"/>
      <c r="E11" s="11"/>
      <c r="F11" s="11"/>
      <c r="G11" s="21"/>
      <c r="H11" s="15"/>
      <c r="I11" s="16"/>
      <c r="J11" s="16"/>
      <c r="K11" s="17"/>
      <c r="L11" s="17"/>
      <c r="M11" s="47" t="s">
        <v>142</v>
      </c>
      <c r="N11" s="16">
        <v>953.0</v>
      </c>
      <c r="O11" s="16" t="s">
        <v>87</v>
      </c>
      <c r="P11" s="16">
        <v>242.673341277191</v>
      </c>
      <c r="Q11" s="16">
        <v>177.831402433642</v>
      </c>
      <c r="R11" s="16">
        <v>71.6933691856152</v>
      </c>
      <c r="S11" s="16">
        <v>0.26768085</v>
      </c>
      <c r="T11" s="16" t="s">
        <v>85</v>
      </c>
      <c r="U11" s="22"/>
      <c r="V11" s="22"/>
      <c r="W11" s="22"/>
      <c r="X11" s="48" t="s">
        <v>143</v>
      </c>
      <c r="Y11" s="16" t="s">
        <v>116</v>
      </c>
      <c r="Z11" s="16" t="s">
        <v>98</v>
      </c>
      <c r="AA11" s="16">
        <v>1054.68</v>
      </c>
      <c r="AB11" s="16">
        <v>177.86761</v>
      </c>
      <c r="AC11" s="16">
        <f>+71.61024</f>
        <v>71.61024</v>
      </c>
      <c r="AD11" s="16">
        <v>0.1897</v>
      </c>
      <c r="AE11" s="16">
        <v>0.841</v>
      </c>
      <c r="AF11" s="16">
        <v>41.57</v>
      </c>
      <c r="AG11" s="16">
        <v>1.86</v>
      </c>
      <c r="AH11" s="16">
        <v>32.0</v>
      </c>
    </row>
    <row r="12">
      <c r="A12" s="10"/>
      <c r="B12" s="10"/>
      <c r="C12" s="11"/>
      <c r="D12" s="14"/>
      <c r="E12" s="11"/>
      <c r="F12" s="11"/>
      <c r="G12" s="21"/>
      <c r="H12" s="15"/>
      <c r="I12" s="16"/>
      <c r="J12" s="16"/>
      <c r="K12" s="17"/>
      <c r="L12" s="17"/>
      <c r="M12" s="47" t="s">
        <v>144</v>
      </c>
      <c r="N12" s="16">
        <v>983.0</v>
      </c>
      <c r="O12" s="16" t="s">
        <v>87</v>
      </c>
      <c r="P12" s="16">
        <v>122.205369735019</v>
      </c>
      <c r="Q12" s="16">
        <v>177.816320848757</v>
      </c>
      <c r="R12" s="16">
        <v>71.6950113086289</v>
      </c>
      <c r="S12" s="16">
        <v>0.17635022</v>
      </c>
      <c r="T12" s="16" t="s">
        <v>85</v>
      </c>
      <c r="U12" s="22"/>
      <c r="V12" s="22"/>
      <c r="W12" s="22"/>
      <c r="X12" s="48" t="s">
        <v>145</v>
      </c>
      <c r="Y12" s="16" t="s">
        <v>117</v>
      </c>
      <c r="Z12" s="16" t="s">
        <v>98</v>
      </c>
      <c r="AA12" s="16">
        <v>1569.18</v>
      </c>
      <c r="AB12" s="16">
        <v>177.4332</v>
      </c>
      <c r="AC12" s="16">
        <f>+71.7301</f>
        <v>71.7301</v>
      </c>
      <c r="AD12" s="16">
        <v>0.2309</v>
      </c>
      <c r="AE12" s="16">
        <v>0.531</v>
      </c>
      <c r="AF12" s="16">
        <v>11.21</v>
      </c>
      <c r="AG12" s="16">
        <v>0.52</v>
      </c>
      <c r="AH12" s="16">
        <v>6.0</v>
      </c>
    </row>
    <row r="13">
      <c r="A13" s="10"/>
      <c r="B13" s="10"/>
      <c r="C13" s="11"/>
      <c r="D13" s="14"/>
      <c r="E13" s="11"/>
      <c r="F13" s="11"/>
      <c r="G13" s="21"/>
      <c r="H13" s="15"/>
      <c r="I13" s="16"/>
      <c r="J13" s="16"/>
      <c r="K13" s="17"/>
      <c r="L13" s="17"/>
      <c r="M13" s="47" t="s">
        <v>146</v>
      </c>
      <c r="N13" s="16">
        <v>986.0</v>
      </c>
      <c r="O13" s="16" t="s">
        <v>87</v>
      </c>
      <c r="P13" s="16">
        <v>203.414653391214</v>
      </c>
      <c r="Q13" s="16">
        <v>177.730959310553</v>
      </c>
      <c r="R13" s="16">
        <v>71.6953465587451</v>
      </c>
      <c r="S13" s="16">
        <v>0.21239159</v>
      </c>
      <c r="T13" s="16" t="s">
        <v>85</v>
      </c>
      <c r="U13" s="22"/>
      <c r="V13" s="22"/>
      <c r="W13" s="22"/>
      <c r="X13" s="48" t="s">
        <v>149</v>
      </c>
      <c r="Y13" s="16" t="s">
        <v>118</v>
      </c>
      <c r="Z13" s="16" t="s">
        <v>98</v>
      </c>
      <c r="AA13" s="16">
        <v>2104.65</v>
      </c>
      <c r="AB13" s="16">
        <v>177.91873</v>
      </c>
      <c r="AC13" s="16">
        <f>+71.45892</f>
        <v>71.45892</v>
      </c>
      <c r="AD13" s="16">
        <v>0.1322</v>
      </c>
      <c r="AE13" s="16">
        <v>0.633</v>
      </c>
      <c r="AF13" s="16">
        <v>20.42</v>
      </c>
      <c r="AG13" s="16">
        <v>0.93</v>
      </c>
      <c r="AH13" s="16">
        <v>11.0</v>
      </c>
    </row>
    <row r="14">
      <c r="A14" s="10"/>
      <c r="B14" s="10"/>
      <c r="C14" s="11"/>
      <c r="D14" s="14"/>
      <c r="E14" s="11"/>
      <c r="F14" s="11"/>
      <c r="G14" s="21"/>
      <c r="H14" s="15"/>
      <c r="I14" s="16"/>
      <c r="J14" s="16"/>
      <c r="K14" s="17"/>
      <c r="L14" s="17"/>
      <c r="M14" s="47" t="s">
        <v>147</v>
      </c>
      <c r="N14" s="16">
        <v>1072.0</v>
      </c>
      <c r="O14" s="16" t="s">
        <v>87</v>
      </c>
      <c r="P14" s="16">
        <v>105.242045408184</v>
      </c>
      <c r="Q14" s="17">
        <v>177.770444698135</v>
      </c>
      <c r="R14" s="17">
        <v>71.7005065539402</v>
      </c>
      <c r="S14" s="17">
        <v>0.33110702</v>
      </c>
      <c r="T14" s="16" t="s">
        <v>85</v>
      </c>
      <c r="U14" s="33"/>
      <c r="V14" s="22"/>
      <c r="W14" s="22"/>
      <c r="X14" s="48" t="s">
        <v>150</v>
      </c>
      <c r="Y14" s="16" t="s">
        <v>119</v>
      </c>
      <c r="Z14" s="16" t="s">
        <v>98</v>
      </c>
      <c r="AA14" s="16">
        <v>3060.14</v>
      </c>
      <c r="AB14" s="16">
        <v>178.50381</v>
      </c>
      <c r="AC14" s="16">
        <f>+71.55566</f>
        <v>71.55566</v>
      </c>
      <c r="AD14" s="16">
        <v>0.1832</v>
      </c>
      <c r="AE14" s="16">
        <v>0.563</v>
      </c>
      <c r="AF14" s="16">
        <v>10.87</v>
      </c>
      <c r="AG14" s="16">
        <v>0.51</v>
      </c>
      <c r="AH14" s="16">
        <v>6.0</v>
      </c>
    </row>
    <row r="15">
      <c r="A15" s="10"/>
      <c r="B15" s="10"/>
      <c r="C15" s="11"/>
      <c r="D15" s="14"/>
      <c r="E15" s="11"/>
      <c r="F15" s="11"/>
      <c r="G15" s="21"/>
      <c r="H15" s="15"/>
      <c r="I15" s="16"/>
      <c r="J15" s="16"/>
      <c r="K15" s="17"/>
      <c r="L15" s="17"/>
      <c r="M15" s="47" t="s">
        <v>151</v>
      </c>
      <c r="N15" s="16">
        <v>1153.0</v>
      </c>
      <c r="O15" s="16" t="s">
        <v>87</v>
      </c>
      <c r="P15" s="16">
        <v>135.780463742394</v>
      </c>
      <c r="Q15" s="16">
        <v>177.778054058051</v>
      </c>
      <c r="R15" s="16">
        <v>71.7055921937232</v>
      </c>
      <c r="S15" s="16">
        <v>0.22799593</v>
      </c>
      <c r="T15" s="16" t="s">
        <v>85</v>
      </c>
      <c r="U15" s="22"/>
      <c r="V15" s="22"/>
      <c r="W15" s="22"/>
      <c r="X15" s="48" t="s">
        <v>152</v>
      </c>
      <c r="Y15" s="16" t="s">
        <v>120</v>
      </c>
      <c r="Z15" s="16" t="s">
        <v>98</v>
      </c>
      <c r="AA15" s="16">
        <v>4272.76</v>
      </c>
      <c r="AB15" s="16">
        <v>177.63068</v>
      </c>
      <c r="AC15" s="16">
        <f>+71.95965</f>
        <v>71.95965</v>
      </c>
      <c r="AD15" s="16">
        <v>0.2841</v>
      </c>
      <c r="AE15" s="16">
        <v>0.698</v>
      </c>
      <c r="AF15" s="16">
        <v>27.48</v>
      </c>
      <c r="AG15" s="16">
        <v>1.25</v>
      </c>
      <c r="AH15" s="16">
        <v>16.0</v>
      </c>
    </row>
    <row r="16">
      <c r="A16" s="10"/>
      <c r="B16" s="10"/>
      <c r="C16" s="11"/>
      <c r="D16" s="14"/>
      <c r="E16" s="11"/>
      <c r="F16" s="11"/>
      <c r="G16" s="21"/>
      <c r="H16" s="15"/>
      <c r="I16" s="16"/>
      <c r="J16" s="16"/>
      <c r="K16" s="17"/>
      <c r="L16" s="17"/>
      <c r="M16" s="47" t="s">
        <v>153</v>
      </c>
      <c r="N16" s="16">
        <v>1190.0</v>
      </c>
      <c r="O16" s="16" t="s">
        <v>87</v>
      </c>
      <c r="P16" s="16">
        <v>121.121304975537</v>
      </c>
      <c r="Q16" s="16">
        <v>177.781121623949</v>
      </c>
      <c r="R16" s="16">
        <v>71.7097754067686</v>
      </c>
      <c r="S16" s="16">
        <v>0.12906177</v>
      </c>
      <c r="T16" s="16" t="s">
        <v>85</v>
      </c>
      <c r="U16" s="22"/>
      <c r="V16" s="22"/>
      <c r="W16" s="22"/>
      <c r="X16" s="48" t="s">
        <v>154</v>
      </c>
      <c r="Y16" s="16" t="s">
        <v>121</v>
      </c>
      <c r="Z16" s="16" t="s">
        <v>98</v>
      </c>
      <c r="AA16" s="16">
        <v>3989.83</v>
      </c>
      <c r="AB16" s="16">
        <v>178.65378</v>
      </c>
      <c r="AC16" s="16">
        <f>+71.65822</f>
        <v>71.65822</v>
      </c>
      <c r="AD16" s="16">
        <v>0.2472</v>
      </c>
      <c r="AE16" s="16">
        <v>0.56</v>
      </c>
      <c r="AF16" s="16">
        <v>10.09</v>
      </c>
      <c r="AG16" s="16">
        <v>0.47</v>
      </c>
      <c r="AH16" s="16">
        <v>9.0</v>
      </c>
    </row>
    <row r="17">
      <c r="A17" s="10"/>
      <c r="B17" s="10"/>
      <c r="C17" s="11"/>
      <c r="D17" s="14"/>
      <c r="E17" s="11"/>
      <c r="F17" s="11"/>
      <c r="G17" s="21"/>
      <c r="H17" s="15"/>
      <c r="I17" s="16"/>
      <c r="J17" s="16"/>
      <c r="K17" s="17"/>
      <c r="L17" s="17"/>
      <c r="M17" s="47" t="s">
        <v>155</v>
      </c>
      <c r="N17" s="16" t="s">
        <v>109</v>
      </c>
      <c r="O17" s="16" t="s">
        <v>84</v>
      </c>
      <c r="P17" s="16">
        <v>130.615130812529</v>
      </c>
      <c r="Q17" s="16">
        <v>177.76356778</v>
      </c>
      <c r="R17" s="16">
        <v>71.68486803</v>
      </c>
      <c r="S17" s="16">
        <v>0.169772549999999</v>
      </c>
      <c r="T17" s="16" t="s">
        <v>85</v>
      </c>
      <c r="U17" s="16">
        <v>0.9664329</v>
      </c>
      <c r="V17" s="16">
        <v>0.028281566</v>
      </c>
      <c r="W17" s="16">
        <v>0.005285486</v>
      </c>
      <c r="X17" s="48" t="s">
        <v>156</v>
      </c>
      <c r="Y17" s="16" t="s">
        <v>122</v>
      </c>
      <c r="Z17" s="16" t="s">
        <v>98</v>
      </c>
      <c r="AA17" s="16">
        <v>3049.59</v>
      </c>
      <c r="AB17" s="16">
        <v>177.36887</v>
      </c>
      <c r="AC17" s="16">
        <f>+71.42403</f>
        <v>71.42403</v>
      </c>
      <c r="AD17" s="16">
        <v>0.1574</v>
      </c>
      <c r="AE17" s="16">
        <v>0.771</v>
      </c>
      <c r="AF17" s="16">
        <v>33.42</v>
      </c>
      <c r="AG17" s="16">
        <v>1.51</v>
      </c>
      <c r="AH17" s="16">
        <v>27.0</v>
      </c>
    </row>
    <row r="18">
      <c r="A18" s="10"/>
      <c r="B18" s="10"/>
      <c r="C18" s="11"/>
      <c r="D18" s="14"/>
      <c r="E18" s="11"/>
      <c r="F18" s="11"/>
      <c r="G18" s="21"/>
      <c r="H18" s="15"/>
      <c r="I18" s="16"/>
      <c r="J18" s="16"/>
      <c r="K18" s="17"/>
      <c r="L18" s="17"/>
      <c r="M18" s="47" t="s">
        <v>141</v>
      </c>
      <c r="N18" s="16" t="s">
        <v>110</v>
      </c>
      <c r="O18" s="16" t="s">
        <v>84</v>
      </c>
      <c r="P18" s="16">
        <v>195.890776111364</v>
      </c>
      <c r="Q18" s="16">
        <v>177.83137459</v>
      </c>
      <c r="R18" s="34">
        <v>71.69337233</v>
      </c>
      <c r="S18" s="16">
        <v>0.20139003</v>
      </c>
      <c r="T18" s="16" t="s">
        <v>85</v>
      </c>
      <c r="U18" s="16">
        <v>0.9982816</v>
      </c>
      <c r="V18" s="34">
        <v>8.6437816E-5</v>
      </c>
      <c r="W18" s="16">
        <v>0.0016319678</v>
      </c>
    </row>
    <row r="19">
      <c r="A19" s="10"/>
      <c r="B19" s="10"/>
      <c r="C19" s="11"/>
      <c r="D19" s="14"/>
      <c r="E19" s="11"/>
      <c r="F19" s="11"/>
      <c r="G19" s="21"/>
      <c r="H19" s="15"/>
      <c r="I19" s="16"/>
      <c r="J19" s="16"/>
      <c r="K19" s="17"/>
      <c r="L19" s="17"/>
      <c r="M19" s="47" t="s">
        <v>157</v>
      </c>
      <c r="N19" s="16" t="s">
        <v>111</v>
      </c>
      <c r="O19" s="16" t="s">
        <v>84</v>
      </c>
      <c r="P19" s="16">
        <v>111.807174483122</v>
      </c>
      <c r="Q19" s="16">
        <v>177.77806754</v>
      </c>
      <c r="R19" s="16">
        <v>71.70558959</v>
      </c>
      <c r="S19" s="16">
        <v>0.177809369999999</v>
      </c>
      <c r="T19" s="16" t="s">
        <v>85</v>
      </c>
      <c r="U19" s="16">
        <v>0.99739957</v>
      </c>
      <c r="V19" s="16">
        <v>0.001632411</v>
      </c>
      <c r="W19" s="16">
        <v>9.6813584E-4</v>
      </c>
    </row>
    <row r="20">
      <c r="A20" s="10"/>
      <c r="B20" s="10"/>
      <c r="C20" s="11"/>
      <c r="D20" s="14"/>
      <c r="E20" s="11"/>
      <c r="F20" s="11"/>
      <c r="G20" s="21"/>
      <c r="H20" s="15"/>
      <c r="I20" s="16"/>
      <c r="J20" s="16"/>
      <c r="K20" s="17"/>
      <c r="L20" s="17"/>
      <c r="M20" s="47" t="s">
        <v>158</v>
      </c>
      <c r="N20" s="16" t="s">
        <v>112</v>
      </c>
      <c r="O20" s="16" t="s">
        <v>84</v>
      </c>
      <c r="P20" s="16">
        <v>101.744429532213</v>
      </c>
      <c r="Q20" s="16">
        <v>177.78113218</v>
      </c>
      <c r="R20" s="16">
        <v>71.70977418</v>
      </c>
      <c r="S20" s="16">
        <v>0.10554664</v>
      </c>
      <c r="T20" s="16" t="s">
        <v>85</v>
      </c>
      <c r="U20" s="16">
        <v>0.99858606</v>
      </c>
      <c r="V20" s="16">
        <v>0.0011536868</v>
      </c>
      <c r="W20" s="16">
        <v>2.6021377E-4</v>
      </c>
    </row>
    <row r="21">
      <c r="A21" s="9" t="s">
        <v>43</v>
      </c>
      <c r="B21" s="10" t="s">
        <v>44</v>
      </c>
      <c r="C21" s="11">
        <v>60028.0716905725</v>
      </c>
      <c r="D21" s="14" t="s">
        <v>46</v>
      </c>
      <c r="E21" s="11">
        <v>88.188</v>
      </c>
      <c r="F21" s="11">
        <v>74.2004722222222</v>
      </c>
      <c r="G21" s="21" t="s">
        <v>21</v>
      </c>
      <c r="H21" s="15">
        <v>1.05345</v>
      </c>
      <c r="I21" s="16">
        <v>0.215</v>
      </c>
      <c r="J21" s="16">
        <v>1.091287275</v>
      </c>
      <c r="K21" s="17">
        <v>0.143</v>
      </c>
      <c r="L21" s="17" t="s">
        <v>47</v>
      </c>
      <c r="M21" s="47" t="s">
        <v>140</v>
      </c>
      <c r="N21" s="16" t="s">
        <v>123</v>
      </c>
      <c r="O21" s="16" t="s">
        <v>84</v>
      </c>
      <c r="P21" s="16">
        <v>60.1101599567985</v>
      </c>
      <c r="Q21" s="16">
        <v>88.1729787</v>
      </c>
      <c r="R21" s="16">
        <v>74.19784041</v>
      </c>
      <c r="S21" s="16">
        <v>0.201868009999999</v>
      </c>
      <c r="T21" s="16" t="s">
        <v>85</v>
      </c>
      <c r="U21" s="16">
        <v>0.93442523</v>
      </c>
      <c r="V21" s="16">
        <v>0.045681626</v>
      </c>
      <c r="W21" s="16">
        <v>0.019893192</v>
      </c>
    </row>
    <row r="22">
      <c r="A22" s="10"/>
      <c r="B22" s="10"/>
      <c r="C22" s="11"/>
      <c r="D22" s="14"/>
      <c r="E22" s="11"/>
      <c r="F22" s="11"/>
      <c r="G22" s="21"/>
      <c r="H22" s="15"/>
      <c r="I22" s="16"/>
      <c r="J22" s="16"/>
      <c r="K22" s="17"/>
      <c r="L22" s="17"/>
      <c r="M22" s="47" t="s">
        <v>142</v>
      </c>
      <c r="N22" s="16" t="s">
        <v>124</v>
      </c>
      <c r="O22" s="16" t="s">
        <v>84</v>
      </c>
      <c r="P22" s="16">
        <v>233.891173805814</v>
      </c>
      <c r="Q22" s="16">
        <v>88.22143337</v>
      </c>
      <c r="R22" s="16">
        <v>74.20135627</v>
      </c>
      <c r="S22" s="16">
        <v>0.64352965</v>
      </c>
      <c r="T22" s="16" t="s">
        <v>85</v>
      </c>
      <c r="U22" s="16">
        <v>0.99958915</v>
      </c>
      <c r="V22" s="16">
        <v>1.7510756E-4</v>
      </c>
      <c r="W22" s="16">
        <v>2.3575165E-4</v>
      </c>
    </row>
    <row r="23">
      <c r="A23" s="9" t="s">
        <v>48</v>
      </c>
      <c r="B23" s="10" t="s">
        <v>49</v>
      </c>
      <c r="C23" s="11">
        <v>60369.370952243</v>
      </c>
      <c r="D23" s="14" t="s">
        <v>51</v>
      </c>
      <c r="E23" s="11">
        <v>335.97475</v>
      </c>
      <c r="F23" s="11">
        <v>73.02590556</v>
      </c>
      <c r="G23" s="21" t="s">
        <v>21</v>
      </c>
      <c r="H23" s="15">
        <v>7.6315</v>
      </c>
      <c r="I23" s="16">
        <v>0.091</v>
      </c>
      <c r="J23" s="16">
        <v>0.3580785559</v>
      </c>
      <c r="K23" s="17">
        <v>0.156</v>
      </c>
      <c r="L23" s="17" t="s">
        <v>52</v>
      </c>
      <c r="M23" s="8"/>
    </row>
    <row r="24">
      <c r="A24" s="9" t="s">
        <v>53</v>
      </c>
      <c r="B24" s="10" t="s">
        <v>54</v>
      </c>
      <c r="C24" s="11">
        <v>60170.3609267555</v>
      </c>
      <c r="D24" s="14" t="s">
        <v>56</v>
      </c>
      <c r="E24" s="11">
        <v>305.037166666666</v>
      </c>
      <c r="F24" s="11">
        <v>70.7927666666666</v>
      </c>
      <c r="G24" s="11">
        <v>0.3024</v>
      </c>
      <c r="H24" s="15">
        <v>0.5372</v>
      </c>
      <c r="I24" s="16">
        <v>0.0925</v>
      </c>
      <c r="J24" s="16">
        <v>0.8087054239</v>
      </c>
      <c r="K24" s="17">
        <v>0.243</v>
      </c>
      <c r="L24" s="17" t="s">
        <v>57</v>
      </c>
      <c r="M24" s="47" t="s">
        <v>140</v>
      </c>
      <c r="N24" s="16" t="s">
        <v>125</v>
      </c>
      <c r="O24" s="16" t="s">
        <v>84</v>
      </c>
      <c r="P24" s="16">
        <v>209.163587360526</v>
      </c>
      <c r="Q24" s="16">
        <v>305.08537361</v>
      </c>
      <c r="R24" s="16">
        <v>70.78860842</v>
      </c>
      <c r="S24" s="16">
        <v>0.210271249999999</v>
      </c>
      <c r="T24" s="16" t="s">
        <v>85</v>
      </c>
      <c r="U24" s="16">
        <v>0.83771545</v>
      </c>
      <c r="V24" s="16">
        <v>0.004704359</v>
      </c>
      <c r="W24" s="16">
        <v>0.157580169999999</v>
      </c>
    </row>
    <row r="25">
      <c r="A25" s="10"/>
      <c r="B25" s="10"/>
      <c r="C25" s="11"/>
      <c r="D25" s="14"/>
      <c r="E25" s="11"/>
      <c r="F25" s="11"/>
      <c r="G25" s="21"/>
      <c r="H25" s="15"/>
      <c r="I25" s="16"/>
      <c r="J25" s="16"/>
      <c r="K25" s="17"/>
      <c r="L25" s="17"/>
      <c r="M25" s="47" t="s">
        <v>142</v>
      </c>
      <c r="N25" s="16" t="s">
        <v>126</v>
      </c>
      <c r="O25" s="16" t="s">
        <v>84</v>
      </c>
      <c r="P25" s="16">
        <v>136.14471411063</v>
      </c>
      <c r="Q25" s="16">
        <v>305.03617628</v>
      </c>
      <c r="R25" s="16">
        <v>70.80240538</v>
      </c>
      <c r="S25" s="16">
        <v>0.240351719999999</v>
      </c>
      <c r="T25" s="16" t="s">
        <v>85</v>
      </c>
      <c r="U25" s="16">
        <v>0.98747444</v>
      </c>
      <c r="V25" s="16">
        <v>3.4273998E-4</v>
      </c>
      <c r="W25" s="16">
        <v>0.012182749</v>
      </c>
    </row>
    <row r="26">
      <c r="A26" s="9" t="s">
        <v>58</v>
      </c>
      <c r="B26" s="10" t="s">
        <v>59</v>
      </c>
      <c r="C26" s="11">
        <v>60200.207158083</v>
      </c>
      <c r="D26" s="14" t="s">
        <v>61</v>
      </c>
      <c r="E26" s="11">
        <v>39.7664999999999</v>
      </c>
      <c r="F26" s="11">
        <v>71.0178611111111</v>
      </c>
      <c r="G26" s="21" t="s">
        <v>21</v>
      </c>
      <c r="H26" s="15">
        <v>0.33955</v>
      </c>
      <c r="I26" s="16">
        <v>0.0685</v>
      </c>
      <c r="J26" s="16">
        <v>0.1464607647</v>
      </c>
      <c r="K26" s="17">
        <v>0.208</v>
      </c>
      <c r="L26" s="17" t="s">
        <v>62</v>
      </c>
      <c r="M26" s="8"/>
    </row>
    <row r="27">
      <c r="A27" s="9" t="s">
        <v>63</v>
      </c>
      <c r="B27" s="10" t="s">
        <v>64</v>
      </c>
      <c r="C27" s="11">
        <v>60331.1042800127</v>
      </c>
      <c r="D27" s="14" t="s">
        <v>66</v>
      </c>
      <c r="E27" s="11">
        <v>312.619124999999</v>
      </c>
      <c r="F27" s="11">
        <v>73.9</v>
      </c>
      <c r="G27" s="11">
        <v>0.074</v>
      </c>
      <c r="H27" s="15">
        <v>1.576</v>
      </c>
      <c r="I27" s="16">
        <v>0.35</v>
      </c>
      <c r="J27" s="17">
        <v>0.7760343596</v>
      </c>
      <c r="K27" s="17">
        <v>0.13</v>
      </c>
      <c r="L27" s="17" t="s">
        <v>67</v>
      </c>
      <c r="M27" s="47" t="s">
        <v>140</v>
      </c>
      <c r="N27" s="16" t="s">
        <v>127</v>
      </c>
      <c r="O27" s="16" t="s">
        <v>84</v>
      </c>
      <c r="P27" s="16">
        <v>111.059860172262</v>
      </c>
      <c r="Q27" s="16">
        <v>312.67935088</v>
      </c>
      <c r="R27" s="16">
        <v>73.8968657599999</v>
      </c>
      <c r="S27" s="16">
        <v>0.09462511</v>
      </c>
      <c r="T27" s="16" t="s">
        <v>85</v>
      </c>
      <c r="U27" s="16">
        <v>0.93143016</v>
      </c>
      <c r="V27" s="16">
        <v>0.014137173</v>
      </c>
      <c r="W27" s="16">
        <v>0.054432653</v>
      </c>
    </row>
    <row r="28">
      <c r="A28" s="10"/>
      <c r="B28" s="10"/>
      <c r="C28" s="11"/>
      <c r="D28" s="14"/>
      <c r="E28" s="16"/>
      <c r="F28" s="16"/>
      <c r="G28" s="16"/>
      <c r="H28" s="15"/>
      <c r="I28" s="16"/>
      <c r="J28" s="16"/>
      <c r="K28" s="17"/>
      <c r="L28" s="17"/>
      <c r="M28" s="47" t="s">
        <v>142</v>
      </c>
      <c r="N28" s="16" t="s">
        <v>128</v>
      </c>
      <c r="O28" s="16" t="s">
        <v>84</v>
      </c>
      <c r="P28" s="16">
        <v>103.464687995645</v>
      </c>
      <c r="Q28" s="16">
        <v>312.61730964</v>
      </c>
      <c r="R28" s="16">
        <v>73.9340529699999</v>
      </c>
      <c r="S28" s="16">
        <v>0.041308902</v>
      </c>
      <c r="T28" s="16" t="s">
        <v>85</v>
      </c>
      <c r="U28" s="16">
        <v>0.9897199</v>
      </c>
      <c r="V28" s="34">
        <v>7.63344E-5</v>
      </c>
      <c r="W28" s="16">
        <v>0.01020368</v>
      </c>
    </row>
    <row r="29">
      <c r="A29" s="10"/>
      <c r="B29" s="10"/>
      <c r="C29" s="11"/>
      <c r="D29" s="14"/>
      <c r="E29" s="16"/>
      <c r="F29" s="16"/>
      <c r="G29" s="16"/>
      <c r="H29" s="15"/>
      <c r="I29" s="16"/>
      <c r="J29" s="16"/>
      <c r="K29" s="17"/>
      <c r="L29" s="17"/>
      <c r="M29" s="47" t="s">
        <v>144</v>
      </c>
      <c r="N29" s="16" t="s">
        <v>129</v>
      </c>
      <c r="O29" s="16" t="s">
        <v>84</v>
      </c>
      <c r="P29" s="16">
        <v>228.096873450915</v>
      </c>
      <c r="Q29" s="16">
        <v>312.80397774</v>
      </c>
      <c r="R29" s="16">
        <v>73.94584168</v>
      </c>
      <c r="S29" s="16">
        <v>0.045353893</v>
      </c>
      <c r="T29" s="16" t="s">
        <v>85</v>
      </c>
      <c r="U29" s="16">
        <v>0.98085344</v>
      </c>
      <c r="V29" s="16">
        <v>0.00846596999999999</v>
      </c>
      <c r="W29" s="16">
        <v>0.010680515</v>
      </c>
    </row>
    <row r="30">
      <c r="A30" s="9" t="s">
        <v>68</v>
      </c>
      <c r="B30" s="10" t="s">
        <v>69</v>
      </c>
      <c r="C30" s="11">
        <v>60343.8318219485</v>
      </c>
      <c r="D30" s="14" t="s">
        <v>71</v>
      </c>
      <c r="E30" s="16">
        <v>169.98354167</v>
      </c>
      <c r="F30" s="16">
        <v>70.67622222</v>
      </c>
      <c r="G30" s="16">
        <v>0.287</v>
      </c>
      <c r="H30" s="15">
        <v>0.6367</v>
      </c>
      <c r="I30" s="16">
        <v>0.033</v>
      </c>
      <c r="J30" s="16">
        <v>4.07304557</v>
      </c>
      <c r="K30" s="17">
        <v>0.023</v>
      </c>
      <c r="L30" s="17" t="s">
        <v>72</v>
      </c>
      <c r="M30" s="47" t="s">
        <v>140</v>
      </c>
      <c r="N30" s="16" t="s">
        <v>130</v>
      </c>
      <c r="O30" s="16" t="s">
        <v>84</v>
      </c>
      <c r="P30" s="16">
        <v>206.443116620385</v>
      </c>
      <c r="Q30" s="16">
        <v>169.97274418</v>
      </c>
      <c r="R30" s="16">
        <v>70.68666126</v>
      </c>
      <c r="S30" s="16">
        <v>0.36087847</v>
      </c>
      <c r="T30" s="16" t="s">
        <v>85</v>
      </c>
      <c r="U30" s="16">
        <v>0.9912005</v>
      </c>
      <c r="V30" s="16">
        <v>0.004339937</v>
      </c>
      <c r="W30" s="16">
        <v>0.004459632</v>
      </c>
      <c r="X30" s="48" t="s">
        <v>148</v>
      </c>
      <c r="Y30" s="16" t="s">
        <v>133</v>
      </c>
      <c r="Z30" s="16" t="s">
        <v>98</v>
      </c>
      <c r="AA30" s="16">
        <v>3133.0</v>
      </c>
      <c r="AB30" s="16">
        <v>169.87289</v>
      </c>
      <c r="AC30" s="16">
        <f>+70.91131</f>
        <v>70.91131</v>
      </c>
      <c r="AD30" s="16">
        <v>0.2192</v>
      </c>
      <c r="AE30" s="16">
        <v>0.766</v>
      </c>
      <c r="AF30" s="16">
        <v>39.61</v>
      </c>
      <c r="AG30" s="16">
        <v>1.78</v>
      </c>
      <c r="AH30" s="16">
        <v>22.0</v>
      </c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47" t="s">
        <v>142</v>
      </c>
      <c r="N31" s="16" t="s">
        <v>131</v>
      </c>
      <c r="O31" s="16" t="s">
        <v>84</v>
      </c>
      <c r="P31" s="16">
        <v>170.62918169186</v>
      </c>
      <c r="Q31" s="16">
        <v>170.00255798</v>
      </c>
      <c r="R31" s="16">
        <v>70.68897047</v>
      </c>
      <c r="S31" s="16">
        <v>0.194477889999999</v>
      </c>
      <c r="T31" s="16" t="s">
        <v>85</v>
      </c>
      <c r="U31" s="16">
        <v>0.9997733</v>
      </c>
      <c r="V31" s="34">
        <v>2.784102E-5</v>
      </c>
      <c r="W31" s="16">
        <v>1.9878693E-4</v>
      </c>
      <c r="X31" s="48" t="s">
        <v>143</v>
      </c>
      <c r="Y31" s="16" t="s">
        <v>134</v>
      </c>
      <c r="Z31" s="16" t="s">
        <v>98</v>
      </c>
      <c r="AA31" s="16">
        <v>4284.68</v>
      </c>
      <c r="AB31" s="16">
        <v>170.6479</v>
      </c>
      <c r="AC31" s="16">
        <f>+70.91058</f>
        <v>70.91058</v>
      </c>
      <c r="AD31" s="16">
        <v>0.2236</v>
      </c>
      <c r="AE31" s="16">
        <v>0.543</v>
      </c>
      <c r="AF31" s="16">
        <v>19.39</v>
      </c>
      <c r="AG31" s="16">
        <v>0.89</v>
      </c>
      <c r="AH31" s="16">
        <v>13.0</v>
      </c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47" t="s">
        <v>144</v>
      </c>
      <c r="N32" s="16" t="s">
        <v>132</v>
      </c>
      <c r="O32" s="16" t="s">
        <v>84</v>
      </c>
      <c r="P32" s="16">
        <v>220.689002392465</v>
      </c>
      <c r="Q32" s="16">
        <v>169.97983016</v>
      </c>
      <c r="R32" s="16">
        <v>70.69339484</v>
      </c>
      <c r="S32" s="16">
        <v>0.2116047</v>
      </c>
      <c r="T32" s="16" t="s">
        <v>85</v>
      </c>
      <c r="U32" s="16">
        <v>0.9619372</v>
      </c>
      <c r="V32" s="16">
        <v>0.03693044</v>
      </c>
      <c r="W32" s="16">
        <v>0.0011323288</v>
      </c>
      <c r="X32" s="48" t="s">
        <v>145</v>
      </c>
      <c r="Y32" s="16" t="s">
        <v>135</v>
      </c>
      <c r="Z32" s="16" t="s">
        <v>98</v>
      </c>
      <c r="AA32" s="16">
        <v>4267.39</v>
      </c>
      <c r="AB32" s="16">
        <v>170.96191</v>
      </c>
      <c r="AC32" s="16">
        <f>+70.69499</f>
        <v>70.69499</v>
      </c>
      <c r="AD32" s="16">
        <v>0.2191</v>
      </c>
      <c r="AE32" s="16">
        <v>0.848</v>
      </c>
      <c r="AF32" s="16">
        <v>46.86</v>
      </c>
      <c r="AG32" s="16">
        <v>2.09</v>
      </c>
      <c r="AH32" s="16">
        <v>31.0</v>
      </c>
    </row>
    <row r="33">
      <c r="L33" s="22"/>
      <c r="M33" s="47" t="s">
        <v>146</v>
      </c>
      <c r="N33" s="16">
        <v>660.0</v>
      </c>
      <c r="O33" s="16" t="s">
        <v>87</v>
      </c>
      <c r="P33" s="16">
        <v>12.1964357201243</v>
      </c>
      <c r="Q33" s="16">
        <v>169.985319537558</v>
      </c>
      <c r="R33" s="16">
        <v>70.6762967306712</v>
      </c>
      <c r="S33" s="16">
        <v>0.4209753</v>
      </c>
      <c r="T33" s="25" t="s">
        <v>88</v>
      </c>
      <c r="U33" s="22"/>
      <c r="V33" s="22"/>
      <c r="W33" s="22"/>
      <c r="X33" s="48" t="s">
        <v>149</v>
      </c>
      <c r="Y33" s="16" t="s">
        <v>136</v>
      </c>
      <c r="Z33" s="16" t="s">
        <v>98</v>
      </c>
      <c r="AA33" s="16">
        <v>3804.0</v>
      </c>
      <c r="AB33" s="16">
        <v>169.87859</v>
      </c>
      <c r="AC33" s="16">
        <f>+70.34475</f>
        <v>70.34475</v>
      </c>
      <c r="AD33" s="16">
        <v>0.1825</v>
      </c>
      <c r="AE33" s="16">
        <v>0.602</v>
      </c>
      <c r="AF33" s="16">
        <v>13.46</v>
      </c>
      <c r="AG33" s="16">
        <v>0.62</v>
      </c>
      <c r="AH33" s="16">
        <v>7.0</v>
      </c>
    </row>
    <row r="34">
      <c r="L34" s="22"/>
      <c r="M34" s="47" t="s">
        <v>147</v>
      </c>
      <c r="N34" s="16">
        <v>795.0</v>
      </c>
      <c r="O34" s="16" t="s">
        <v>87</v>
      </c>
      <c r="P34" s="16">
        <v>225.401528552577</v>
      </c>
      <c r="Q34" s="16">
        <v>169.972769972713</v>
      </c>
      <c r="R34" s="16">
        <v>70.6866546691304</v>
      </c>
      <c r="S34" s="16">
        <v>0.416788</v>
      </c>
      <c r="T34" s="25" t="s">
        <v>88</v>
      </c>
      <c r="U34" s="22"/>
      <c r="V34" s="22"/>
      <c r="W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47" t="s">
        <v>151</v>
      </c>
      <c r="N35" s="16">
        <v>796.0</v>
      </c>
      <c r="O35" s="16" t="s">
        <v>87</v>
      </c>
      <c r="P35" s="16">
        <v>212.195713359533</v>
      </c>
      <c r="Q35" s="16">
        <v>169.976150973681</v>
      </c>
      <c r="R35" s="16">
        <v>70.6861148954405</v>
      </c>
      <c r="S35" s="16">
        <v>0.42996007</v>
      </c>
      <c r="T35" s="25" t="s">
        <v>88</v>
      </c>
      <c r="U35" s="22"/>
      <c r="V35" s="22"/>
      <c r="W35" s="22"/>
    </row>
    <row r="36">
      <c r="L36" s="8"/>
      <c r="M36" s="47" t="s">
        <v>153</v>
      </c>
      <c r="N36" s="16">
        <v>827.0</v>
      </c>
      <c r="O36" s="16" t="s">
        <v>87</v>
      </c>
      <c r="P36" s="16">
        <v>237.242551732144</v>
      </c>
      <c r="Q36" s="16">
        <v>169.979829974794</v>
      </c>
      <c r="R36" s="16">
        <v>70.6933983205035</v>
      </c>
      <c r="S36" s="16">
        <v>0.23264669</v>
      </c>
      <c r="T36" s="25" t="s">
        <v>106</v>
      </c>
      <c r="U36" s="22"/>
      <c r="V36" s="22"/>
      <c r="W36" s="22"/>
    </row>
    <row r="37">
      <c r="L37" s="22"/>
      <c r="M37" s="47" t="s">
        <v>155</v>
      </c>
      <c r="N37" s="16">
        <v>824.0</v>
      </c>
      <c r="O37" s="16" t="s">
        <v>87</v>
      </c>
      <c r="P37" s="16">
        <v>178.252341378374</v>
      </c>
      <c r="Q37" s="16">
        <v>170.00255556779</v>
      </c>
      <c r="R37" s="16">
        <v>70.6889687861356</v>
      </c>
      <c r="S37" s="16">
        <v>0.20569403</v>
      </c>
      <c r="T37" s="25" t="s">
        <v>106</v>
      </c>
      <c r="U37" s="22"/>
      <c r="V37" s="22"/>
      <c r="W37" s="22"/>
    </row>
    <row r="38">
      <c r="L38" s="22"/>
      <c r="M38" s="47" t="s">
        <v>141</v>
      </c>
      <c r="N38" s="16">
        <v>825.0</v>
      </c>
      <c r="O38" s="16" t="s">
        <v>87</v>
      </c>
      <c r="P38" s="16">
        <v>281.449362143341</v>
      </c>
      <c r="Q38" s="16">
        <v>170.000082267242</v>
      </c>
      <c r="R38" s="16">
        <v>70.6903388668057</v>
      </c>
      <c r="S38" s="16">
        <v>0.35723287</v>
      </c>
      <c r="T38" s="25" t="s">
        <v>89</v>
      </c>
      <c r="U38" s="22"/>
      <c r="V38" s="22"/>
      <c r="W38" s="22"/>
    </row>
    <row r="39">
      <c r="L39" s="22"/>
      <c r="M39" s="22"/>
    </row>
    <row r="40">
      <c r="L40" s="22"/>
      <c r="M40" s="22"/>
    </row>
    <row r="41">
      <c r="L41" s="22"/>
      <c r="M41" s="22"/>
    </row>
    <row r="42">
      <c r="L42" s="22"/>
      <c r="M42" s="22"/>
    </row>
    <row r="43">
      <c r="L43" s="22"/>
      <c r="M43" s="22"/>
    </row>
    <row r="44">
      <c r="L44" s="22"/>
      <c r="M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>
      <c r="M46" s="22"/>
    </row>
    <row r="47">
      <c r="M47" s="22"/>
    </row>
    <row r="48">
      <c r="M48" s="22"/>
    </row>
    <row r="49">
      <c r="M49" s="22"/>
    </row>
    <row r="50">
      <c r="M50" s="22"/>
    </row>
    <row r="51">
      <c r="M51" s="22"/>
    </row>
    <row r="52">
      <c r="M52" s="22"/>
    </row>
    <row r="53">
      <c r="M53" s="22"/>
    </row>
    <row r="54">
      <c r="M54" s="22"/>
    </row>
    <row r="55">
      <c r="M55" s="22"/>
    </row>
    <row r="56">
      <c r="M56" s="22"/>
    </row>
    <row r="57">
      <c r="M57" s="22"/>
    </row>
    <row r="58">
      <c r="M58" s="22"/>
    </row>
    <row r="59">
      <c r="M59" s="22"/>
    </row>
    <row r="60">
      <c r="M60" s="22"/>
    </row>
    <row r="61">
      <c r="M61" s="22"/>
    </row>
    <row r="62">
      <c r="M62" s="22"/>
    </row>
    <row r="63">
      <c r="M63" s="22"/>
    </row>
    <row r="64">
      <c r="M64" s="22"/>
    </row>
    <row r="65">
      <c r="M65" s="22"/>
    </row>
    <row r="66">
      <c r="M66" s="22"/>
    </row>
    <row r="67">
      <c r="M67" s="22"/>
    </row>
    <row r="68">
      <c r="M68" s="22"/>
    </row>
    <row r="69">
      <c r="M69" s="22"/>
    </row>
    <row r="70">
      <c r="M70" s="22"/>
    </row>
    <row r="71">
      <c r="M71" s="22"/>
    </row>
    <row r="72">
      <c r="M72" s="22"/>
    </row>
    <row r="73">
      <c r="M73" s="22"/>
    </row>
    <row r="74">
      <c r="M74" s="22"/>
    </row>
    <row r="75">
      <c r="M75" s="22"/>
    </row>
    <row r="76">
      <c r="M76" s="22"/>
    </row>
    <row r="77">
      <c r="M77" s="22"/>
    </row>
    <row r="78">
      <c r="M78" s="22"/>
    </row>
    <row r="79">
      <c r="M79" s="22"/>
    </row>
    <row r="80">
      <c r="M80" s="22"/>
    </row>
    <row r="81">
      <c r="M81" s="22"/>
    </row>
    <row r="82">
      <c r="M82" s="22"/>
    </row>
    <row r="83">
      <c r="M83" s="22"/>
    </row>
    <row r="84">
      <c r="M84" s="22"/>
    </row>
    <row r="85">
      <c r="M85" s="22"/>
    </row>
    <row r="86">
      <c r="M86" s="22"/>
    </row>
    <row r="87">
      <c r="M87" s="22"/>
    </row>
    <row r="88">
      <c r="M88" s="22"/>
    </row>
    <row r="89">
      <c r="M89" s="22"/>
    </row>
    <row r="90">
      <c r="M90" s="22"/>
    </row>
    <row r="91">
      <c r="M91" s="22"/>
    </row>
    <row r="92">
      <c r="M92" s="22"/>
    </row>
    <row r="93">
      <c r="M93" s="22"/>
    </row>
    <row r="94">
      <c r="M94" s="22"/>
    </row>
    <row r="95">
      <c r="M95" s="22"/>
    </row>
    <row r="96">
      <c r="M96" s="22"/>
    </row>
    <row r="97">
      <c r="M97" s="22"/>
    </row>
    <row r="98">
      <c r="M98" s="22"/>
    </row>
    <row r="99">
      <c r="M99" s="22"/>
    </row>
    <row r="100">
      <c r="M100" s="22"/>
    </row>
    <row r="101">
      <c r="M101" s="22"/>
    </row>
    <row r="102">
      <c r="M102" s="22"/>
    </row>
    <row r="103">
      <c r="M103" s="22"/>
    </row>
    <row r="104">
      <c r="M104" s="22"/>
    </row>
    <row r="105">
      <c r="M105" s="22"/>
    </row>
    <row r="106">
      <c r="M106" s="22"/>
    </row>
    <row r="107">
      <c r="M107" s="22"/>
    </row>
    <row r="108">
      <c r="M108" s="22"/>
    </row>
    <row r="109">
      <c r="M109" s="22"/>
    </row>
    <row r="110">
      <c r="M110" s="22"/>
    </row>
  </sheetData>
  <drawing r:id="rId1"/>
  <tableParts count="1">
    <tablePart r:id="rId3"/>
  </tableParts>
</worksheet>
</file>